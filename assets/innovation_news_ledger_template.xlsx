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494736d52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dc8205e40c84459"/>
    <x:sheet xmlns:r="http://schemas.openxmlformats.org/officeDocument/2006/relationships" name="News Ledger" sheetId="2" r:id="Rce9d125c23e14b82"/>
    <x:sheet xmlns:r="http://schemas.openxmlformats.org/officeDocument/2006/relationships" name="Source Registry" sheetId="3" r:id="Rf82033ba313947a1"/>
    <x:sheet xmlns:r="http://schemas.openxmlformats.org/officeDocument/2006/relationships" name="Run Log" sheetId="4" r:id="R61afd6ec1f16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 hh:mm"/>
  </x:numFmts>
  <x:fonts count="12">
    <x:font>
      <x:sz val="11"/>
      <x:name val="Carlito"/>
    </x:font>
    <x:font>
      <x:b/>
      <x:sz val="20"/>
      <x:color rgb="FFFFFFFF"/>
      <x:name val="DejaVu Sans"/>
    </x:font>
    <x:font>
      <x:sz val="10"/>
      <x:color rgb="FF5B6B78"/>
      <x:name val="DejaVu Sans"/>
    </x:font>
    <x:font>
      <x:b/>
      <x:sz val="11"/>
      <x:color rgb="FFFFFFFF"/>
      <x:name val="DejaVu Sans"/>
    </x:font>
    <x:font>
      <x:sz val="10"/>
      <x:color rgb="FF182632"/>
      <x:name val="DejaVu Sans"/>
    </x:font>
    <x:font>
      <x:b/>
      <x:sz val="10"/>
      <x:color rgb="FF182632"/>
      <x:name val="DejaVu Sans"/>
    </x:font>
    <x:font>
      <x:b/>
      <x:sz val="16"/>
      <x:color rgb="FF0F766E"/>
      <x:name val="DejaVu Sans"/>
    </x:font>
    <x:font>
      <x:b/>
      <x:sz val="11"/>
      <x:color rgb="FF0B1F33"/>
      <x:name val="DejaVu Sans"/>
    </x:font>
    <x:font>
      <x:sz val="11"/>
      <x:name val="DejaVu Sans"/>
    </x:font>
    <x:font>
      <x:b/>
      <x:sz val="10"/>
      <x:color rgb="FFFFFFFF"/>
      <x:name val="DejaVu Sans"/>
    </x:font>
    <x:font>
      <x:b/>
      <x:sz val="11"/>
      <x:color rgb="FFFFFFFF"/>
      <x:name val="Carlito"/>
    </x:font>
    <x:font>
      <x:sz val="11"/>
      <x:color rgb="FF1D2A35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4F7F8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DDF3EE"/>
      </x:patternFill>
    </x:fill>
    <x:fill>
      <x:patternFill patternType="solid">
        <x:fgColor rgb="FFF7ECD4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D7E0E5"/>
      </x:left>
      <x:top style="thin">
        <x:color rgb="FFD7E0E5"/>
      </x:top>
      <x:bottom style="thin">
        <x:color rgb="FFD7E0E5"/>
      </x:bottom>
    </x:border>
    <x:border>
      <x:top style="thin">
        <x:color rgb="FFD7E0E5"/>
      </x:top>
      <x:bottom style="thin">
        <x:color rgb="FFD7E0E5"/>
      </x:bottom>
    </x:border>
    <x:border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bottom style="thin">
        <x:color rgb="FFD7E0E5"/>
      </x:bottom>
    </x:border>
    <x:border>
      <x:top style="thin">
        <x:color rgb="FFD7E0E5"/>
      </x:top>
    </x:border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right style="thin">
        <x:color rgb="FFB8D6D0"/>
      </x:right>
      <x:bottom style="medium">
        <x:color rgb="FF0B1F33"/>
      </x:bottom>
    </x:border>
    <x:border>
      <x:left style="thin">
        <x:color rgb="FFB8D6D0"/>
      </x:left>
      <x:right style="thin">
        <x:color rgb="FFB8D6D0"/>
      </x:right>
      <x:bottom style="medium">
        <x:color rgb="FF0B1F33"/>
      </x:bottom>
    </x:border>
    <x:border>
      <x:left style="thin">
        <x:color rgb="FFB8D6D0"/>
      </x:left>
      <x:bottom style="medium">
        <x:color rgb="FF0B1F33"/>
      </x:bottom>
    </x:border>
    <x:border>
      <x:left style="thin">
        <x:color rgb="FFB8D6D0"/>
      </x:left>
      <x:right style="thin">
        <x:color rgb="FFB8D6D0"/>
      </x:right>
      <x:top style="thin">
        <x:color rgb="FFB8D6D0"/>
      </x:top>
      <x:bottom style="thin">
        <x:color rgb="FFB8D6D0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6" xfId="0" applyNumberFormat="1" applyFont="1" applyFill="1" applyBorder="1" applyAlignment="1">
      <x:alignment vertical="center"/>
    </x:xf>
    <x:xf numFmtId="200" fontId="6" fillId="6" borderId="6" xfId="0" applyNumberFormat="1" applyFont="1" applyFill="1" applyBorder="1" applyAlignment="1">
      <x:alignment vertical="center"/>
    </x:xf>
    <x:xf numFmtId="200" fontId="6" fillId="6" borderId="6" xfId="0" applyNumberFormat="1" applyFont="1" applyFill="1" applyBorder="1" applyAlignment="1">
      <x:alignment horizontal="right"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7" xfId="0" applyNumberFormat="1" applyFont="1" applyFill="1" applyBorder="1"/>
    <x:xf numFmtId="0" fontId="9" fillId="4" borderId="8" xfId="0" applyNumberFormat="1" applyFont="1" applyFill="1" applyBorder="1"/>
    <x:xf numFmtId="0" fontId="9" fillId="4" borderId="9" xfId="0" applyNumberFormat="1" applyFont="1" applyFill="1" applyBorder="1"/>
    <x:xf numFmtId="0" fontId="9" fillId="4" borderId="7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wrapText="1"/>
    </x:xf>
    <x:xf numFmtId="0" fontId="9" fillId="4" borderId="7" xfId="0" applyNumberFormat="1" applyFont="1" applyFill="1" applyBorder="1" applyAlignment="1">
      <x:alignment horizontal="center" wrapText="1"/>
    </x:xf>
    <x:xf numFmtId="0" fontId="9" fillId="4" borderId="8" xfId="0" applyNumberFormat="1" applyFont="1" applyFill="1" applyBorder="1" applyAlignment="1">
      <x:alignment horizontal="center" wrapText="1"/>
    </x:xf>
    <x:xf numFmtId="0" fontId="9" fillId="4" borderId="9" xfId="0" applyNumberFormat="1" applyFont="1" applyFill="1" applyBorder="1" applyAlignment="1">
      <x:alignment horizontal="center" wrapText="1"/>
    </x:xf>
    <x:xf numFmtId="0" fontId="9" fillId="4" borderId="7" xfId="0" applyNumberFormat="1" applyFont="1" applyFill="1" applyBorder="1" applyAlignment="1">
      <x:alignment horizontal="center" vertical="center" wrapText="1"/>
    </x:xf>
    <x:xf numFmtId="0" fontId="9" fillId="4" borderId="8" xfId="0" applyNumberFormat="1" applyFont="1" applyFill="1" applyBorder="1" applyAlignment="1">
      <x:alignment horizontal="center" vertical="center" wrapText="1"/>
    </x:xf>
    <x:xf numFmtId="0" fontId="9" fillId="4" borderId="9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vertical="top" wrapText="1"/>
    </x:xf>
    <x:xf numFmtId="201" fontId="4" fillId="5" borderId="4" xfId="0" applyNumberFormat="1" applyFont="1" applyFill="1" applyBorder="1" applyAlignment="1">
      <x:alignment vertical="top" wrapText="1"/>
    </x:xf>
    <x:xf numFmtId="202" fontId="4" fillId="5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horizontal="center" wrapText="1"/>
    </x:xf>
    <x:xf numFmtId="0" fontId="10" fillId="8" borderId="1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horizontal="center"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4" xfId="0" applyNumberFormat="1" applyFont="1" applyFill="1" applyBorder="1" applyAlignment="1">
      <x:alignment horizontal="center" wrapText="1"/>
    </x:xf>
    <x:xf numFmtId="0" fontId="11" fillId="9" borderId="4" xfId="0" applyNumberFormat="1" applyFont="1" applyFill="1" applyBorder="1" applyAlignment="1">
      <x:alignment wrapText="1"/>
    </x:xf>
    <x:xf numFmtId="0" fontId="11" fillId="9" borderId="2" xfId="0" applyNumberFormat="1" applyFont="1" applyFill="1" applyBorder="1" applyAlignment="1">
      <x:alignment horizontal="center" wrapText="1"/>
    </x:xf>
    <x:xf numFmtId="0" fontId="11" fillId="9" borderId="2" xfId="0" applyNumberFormat="1" applyFont="1" applyFill="1" applyBorder="1" applyAlignment="1">
      <x:alignment wrapText="1"/>
    </x:xf>
    <x:xf numFmtId="0" fontId="11" fillId="9" borderId="5" xfId="0" applyNumberFormat="1" applyFont="1" applyFill="1" applyBorder="1" applyAlignment="1">
      <x:alignment horizontal="center" wrapText="1"/>
    </x:xf>
    <x:xf numFmtId="0" fontId="11" fillId="9" borderId="5" xfId="0" applyNumberFormat="1" applyFont="1" applyFill="1" applyBorder="1" applyAlignment="1">
      <x:alignment wrapText="1"/>
    </x:xf>
    <x:xf numFmtId="0" fontId="10" fillId="10" borderId="10" xfId="0" applyNumberFormat="1" applyFont="1" applyFill="1" applyBorder="1" applyAlignment="1">
      <x:alignment horizontal="center" wrapText="1"/>
    </x:xf>
    <x:xf numFmtId="0" fontId="11" fillId="11" borderId="4" xfId="0" applyNumberFormat="1" applyFont="1" applyFill="1" applyBorder="1" applyAlignment="1">
      <x:alignment horizontal="center" wrapText="1"/>
    </x:xf>
    <x:xf numFmtId="0" fontId="11" fillId="11" borderId="4" xfId="0" applyNumberFormat="1" applyFont="1" applyFill="1" applyBorder="1" applyAlignment="1">
      <x:alignment wrapText="1"/>
    </x:xf>
    <x:xf numFmtId="0" fontId="11" fillId="11" borderId="2" xfId="0" applyNumberFormat="1" applyFont="1" applyFill="1" applyBorder="1" applyAlignment="1">
      <x:alignment horizontal="center" wrapText="1"/>
    </x:xf>
    <x:xf numFmtId="0" fontId="11" fillId="11" borderId="2" xfId="0" applyNumberFormat="1" applyFont="1" applyFill="1" applyBorder="1" applyAlignment="1">
      <x:alignment wrapText="1"/>
    </x:xf>
    <x:xf numFmtId="0" fontId="11" fillId="11" borderId="5" xfId="0" applyNumberFormat="1" applyFont="1" applyFill="1" applyBorder="1" applyAlignment="1">
      <x:alignment horizontal="center" wrapText="1"/>
    </x:xf>
    <x:xf numFmtId="0" fontId="11" fillId="11" borderId="5" xfId="0" applyNumberFormat="1" applyFont="1" applyFill="1" applyBorder="1" applyAlignment="1">
      <x:alignment wrapText="1"/>
    </x:xf>
    <x:xf numFmtId="0" fontId="10" fillId="12" borderId="10" xfId="0" applyNumberFormat="1" applyFont="1" applyFill="1" applyBorder="1" applyAlignment="1">
      <x:alignment horizontal="center" wrapText="1"/>
    </x:xf>
    <x:xf numFmtId="0" fontId="11" fillId="13" borderId="4" xfId="0" applyNumberFormat="1" applyFont="1" applyFill="1" applyBorder="1" applyAlignment="1">
      <x:alignment horizontal="center" wrapText="1"/>
    </x:xf>
    <x:xf numFmtId="0" fontId="11" fillId="13" borderId="4" xfId="0" applyNumberFormat="1" applyFont="1" applyFill="1" applyBorder="1" applyAlignment="1">
      <x:alignment wrapText="1"/>
    </x:xf>
    <x:xf numFmtId="0" fontId="11" fillId="13" borderId="2" xfId="0" applyNumberFormat="1" applyFont="1" applyFill="1" applyBorder="1" applyAlignment="1">
      <x:alignment horizontal="center" wrapText="1"/>
    </x:xf>
    <x:xf numFmtId="0" fontId="11" fillId="1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3ad787ca4473f" /><Relationship Type="http://schemas.openxmlformats.org/officeDocument/2006/relationships/theme" Target="/xl/theme/theme1.xml" Id="Ra7b85564b4644662" /><Relationship Type="http://schemas.openxmlformats.org/officeDocument/2006/relationships/sharedStrings" Target="/xl/sharedStrings.xml" Id="Re71aa041c53d4ea7" /><Relationship Type="http://schemas.openxmlformats.org/officeDocument/2006/relationships/worksheet" Target="/xl/worksheets/sheet1.xml" Id="R5dc8205e40c84459" /><Relationship Type="http://schemas.openxmlformats.org/officeDocument/2006/relationships/worksheet" Target="/xl/worksheets/sheet2.xml" Id="Rce9d125c23e14b82" /><Relationship Type="http://schemas.openxmlformats.org/officeDocument/2006/relationships/worksheet" Target="/xl/worksheets/sheet3.xml" Id="Rf82033ba313947a1" /><Relationship Type="http://schemas.openxmlformats.org/officeDocument/2006/relationships/worksheet" Target="/xl/worksheets/sheet4.xml" Id="R61afd6ec1f16426f" /><Relationship Type="http://schemas.microsoft.com/office/2017/10/relationships/person" Target="/xl/persons/person.xml" Id="Rc37f36b361d54e13" /></Relationships>
</file>

<file path=xl/persons/person.xml><?xml version="1.0" encoding="utf-8"?>
<xltc:personList xmlns:xltc="http://schemas.microsoft.com/office/spreadsheetml/2018/threadedcomments">
  <xltc:person displayName="Haruka" id="{DE18F366-CDF0-46AB-8761-FAD63AFA509F}"/>
</xltc:personList>
</file>

<file path=xl/tables/table1.xml><?xml version="1.0" encoding="utf-8"?>
<x:table xmlns:x="http://schemas.openxmlformats.org/spreadsheetml/2006/main" id="1" name="NewsLedgerTable" displayName="NewsLedgerTable" ref="A3:O4" headerRowCount="1" totalsRowCount="0" totalsRowShown="0">
  <x:autoFilter ref="A3:O4"/>
  <x:tableColumns count="15">
    <x:tableColumn id="1" name="Collected At (JST)"/>
    <x:tableColumn id="2" name="Published At"/>
    <x:tableColumn id="3" name="Region"/>
    <x:tableColumn id="4" name="Country / Area"/>
    <x:tableColumn id="5" name="Topic"/>
    <x:tableColumn id="6" name="Policy Relevance"/>
    <x:tableColumn id="7" name="Source Type"/>
    <x:tableColumn id="8" name="Source"/>
    <x:tableColumn id="9" name="Title"/>
    <x:tableColumn id="10" name="Summary"/>
    <x:tableColumn id="11" name="URL"/>
    <x:tableColumn id="12" name="Canonical ID"/>
    <x:tableColumn id="13" name="First Seen"/>
    <x:tableColumn id="14" name="Status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ourceRegistryTable" displayName="SourceRegistryTable" ref="A3:N37" headerRowCount="1" totalsRowCount="0" totalsRowShown="0">
  <x:autoFilter ref="A3:N37"/>
  <x:tableColumns count="14">
    <x:tableColumn id="1" name="Active"/>
    <x:tableColumn id="2" name="Region"/>
    <x:tableColumn id="3" name="Country / Area"/>
    <x:tableColumn id="4" name="Category"/>
    <x:tableColumn id="5" name="Source"/>
    <x:tableColumn id="6" name="Organization"/>
    <x:tableColumn id="7" name="Feed URL"/>
    <x:tableColumn id="8" name="Homepage"/>
    <x:tableColumn id="9" name="Priority"/>
    <x:tableColumn id="10" name="Native Feed"/>
    <x:tableColumn id="11" name="Notes"/>
    <x:tableColumn id="12" name="Coverage Tier"/>
    <x:tableColumn id="13" name="Cadence"/>
    <x:tableColumn id="14" name="Topic Tag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unLogTable" displayName="RunLogTable" ref="A3:H4" headerRowCount="1" totalsRowCount="0" totalsRowShown="0">
  <x:autoFilter ref="A3:H4"/>
  <x:tableColumns count="8">
    <x:tableColumn id="1" name="Run Time (JST)"/>
    <x:tableColumn id="2" name="Feeds Checked"/>
    <x:tableColumn id="3" name="Feeds Succeeded"/>
    <x:tableColumn id="4" name="New Items"/>
    <x:tableColumn id="5" name="Duplicates Skipped"/>
    <x:tableColumn id="6" name="Feed Errors"/>
    <x:tableColumn id="7" name="Duration (sec)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7fde5df99c4b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a3cfa159444d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098bede6154a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" hidden="0" customWidth="1"/>
    <x:col min="4" max="4" width="24" hidden="0" customWidth="1"/>
    <x:col min="5" max="5" width="12" hidden="0" customWidth="1"/>
    <x:col min="6" max="6" width="3" hidden="0" customWidth="1"/>
    <x:col min="7" max="7" width="30" hidden="0" customWidth="1"/>
    <x:col min="8" max="8" width="12" hidden="0" customWidth="1"/>
  </x:cols>
  <x:sheetData>
    <x:row r="1" ht="34" customHeight="1">
      <x:c r="A1" s="4" t="str">
        <x:v>World Innovation Brief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3" t="str">
        <x:v>Global innovation policy and emerging-technology ledger</x:v>
      </x:c>
      <x:c r="B2" s="14"/>
      <x:c r="C2" s="14"/>
      <x:c r="D2" s="14"/>
      <x:c r="E2" s="14"/>
      <x:c r="F2" s="14"/>
      <x:c r="G2" s="14"/>
      <x:c r="H2" s="15"/>
    </x:row>
    <x:row r="3">
      <x:c r="A3" s="46"/>
      <x:c r="B3" s="46"/>
      <x:c r="C3" s="46"/>
      <x:c r="D3" s="46"/>
      <x:c r="E3" s="46"/>
      <x:c r="F3" s="46"/>
      <x:c r="G3" s="46"/>
      <x:c r="H3" s="46"/>
    </x:row>
    <x:row r="4" ht="26" customHeight="1">
      <x:c r="A4" s="19" t="str">
        <x:v>Operations</x:v>
      </x:c>
      <x:c r="B4" s="19"/>
      <x:c r="C4" s="46"/>
      <x:c r="D4" s="19" t="str">
        <x:v>By region</x:v>
      </x:c>
      <x:c r="E4" s="19"/>
      <x:c r="F4" s="46"/>
      <x:c r="G4" s="19" t="str">
        <x:v>By topic</x:v>
      </x:c>
      <x:c r="H4" s="19"/>
    </x:row>
    <x:row r="5">
      <x:c r="A5" s="28" t="str">
        <x:v>Last update (JST)</x:v>
      </x:c>
      <x:c r="B5" s="25" t="str">
        <x:v>Not run yet</x:v>
      </x:c>
      <x:c r="C5" s="46"/>
      <x:c r="D5" s="25" t="str">
        <x:v>United States</x:v>
      </x:c>
      <x:c r="E5" s="38" t="n">
        <x:f>COUNTIF('News Ledger'!$C$4:$C$10003,D5)</x:f>
        <x:v>0</x:v>
      </x:c>
      <x:c r="F5" s="46"/>
      <x:c r="G5" s="25" t="str">
        <x:v>Innovation Policy</x:v>
      </x:c>
      <x:c r="H5" s="38" t="n">
        <x:f>COUNTIF('News Ledger'!$E$4:$E$10003,"*Innovation Policy*")</x:f>
        <x:v>0</x:v>
      </x:c>
    </x:row>
    <x:row r="6">
      <x:c r="A6" s="29" t="str">
        <x:v>Ledger articles</x:v>
      </x:c>
      <x:c r="B6" s="37" t="n">
        <x:f>COUNTA('News Ledger'!$I$4:$I$10003)</x:f>
        <x:v>0</x:v>
      </x:c>
      <x:c r="C6" s="46"/>
      <x:c r="D6" s="26" t="str">
        <x:v>Asia</x:v>
      </x:c>
      <x:c r="E6" s="39" t="n">
        <x:f>COUNTIF('News Ledger'!$C$4:$C$10003,D6)</x:f>
        <x:v>0</x:v>
      </x:c>
      <x:c r="F6" s="46"/>
      <x:c r="G6" s="26" t="str">
        <x:v>Artificial Intelligence</x:v>
      </x:c>
      <x:c r="H6" s="39" t="n">
        <x:f>COUNTIF('News Ledger'!$E$4:$E$10003,"*Artificial Intelligence*")</x:f>
        <x:v>0</x:v>
      </x:c>
    </x:row>
    <x:row r="7">
      <x:c r="A7" s="29" t="str">
        <x:v>Policy score 3+</x:v>
      </x:c>
      <x:c r="B7" s="37" t="n">
        <x:f>COUNTIF('News Ledger'!$F$4:$F$10003,"&gt;=3")</x:f>
        <x:v>0</x:v>
      </x:c>
      <x:c r="C7" s="46"/>
      <x:c r="D7" s="26" t="str">
        <x:v>EU &amp; Europe</x:v>
      </x:c>
      <x:c r="E7" s="39" t="n">
        <x:f>COUNTIF('News Ledger'!$C$4:$C$10003,D7)</x:f>
        <x:v>0</x:v>
      </x:c>
      <x:c r="F7" s="46"/>
      <x:c r="G7" s="26" t="str">
        <x:v>Robotics</x:v>
      </x:c>
      <x:c r="H7" s="39" t="n">
        <x:f>COUNTIF('News Ledger'!$E$4:$E$10003,"*Robotics*")</x:f>
        <x:v>0</x:v>
      </x:c>
    </x:row>
    <x:row r="8">
      <x:c r="A8" s="30" t="str">
        <x:v>Active sources</x:v>
      </x:c>
      <x:c r="B8" s="37" t="n">
        <x:f>COUNTIF('Source Registry'!$A$4:$A$10003,"Yes")</x:f>
        <x:v>34</x:v>
      </x:c>
      <x:c r="C8" s="46"/>
      <x:c r="D8" s="26" t="str">
        <x:v>Middle East</x:v>
      </x:c>
      <x:c r="E8" s="39" t="n">
        <x:f>COUNTIF('News Ledger'!$C$4:$C$10003,D8)</x:f>
        <x:v>0</x:v>
      </x:c>
      <x:c r="F8" s="46"/>
      <x:c r="G8" s="26" t="str">
        <x:v>Semiconductors &amp; Telecom</x:v>
      </x:c>
      <x:c r="H8" s="39" t="n">
        <x:f>COUNTIF('News Ledger'!$E$4:$E$10003,"*Semiconductors &amp; Telecom*")</x:f>
        <x:v>0</x:v>
      </x:c>
    </x:row>
    <x:row r="9">
      <x:c r="A9" s="46"/>
      <x:c r="B9" s="46"/>
      <x:c r="C9" s="46"/>
      <x:c r="D9" s="27" t="str">
        <x:v>Global</x:v>
      </x:c>
      <x:c r="E9" s="40" t="n">
        <x:f>COUNTIF('News Ledger'!$C$4:$C$10003,D9)</x:f>
        <x:v>0</x:v>
      </x:c>
      <x:c r="F9" s="46"/>
      <x:c r="G9" s="26" t="str">
        <x:v>Quantum</x:v>
      </x:c>
      <x:c r="H9" s="39" t="n">
        <x:f>COUNTIF('News Ledger'!$E$4:$E$10003,"*Quantum*")</x:f>
        <x:v>0</x:v>
      </x:c>
    </x:row>
    <x:row r="10">
      <x:c r="A10" s="46"/>
      <x:c r="B10" s="46"/>
      <x:c r="C10" s="46"/>
      <x:c r="D10" s="46"/>
      <x:c r="E10" s="46"/>
      <x:c r="F10" s="46"/>
      <x:c r="G10" s="26" t="str">
        <x:v>Fusion Energy</x:v>
      </x:c>
      <x:c r="H10" s="39" t="n">
        <x:f>COUNTIF('News Ledger'!$E$4:$E$10003,"*Fusion Energy*")</x:f>
        <x:v>0</x:v>
      </x:c>
    </x:row>
    <x:row r="11">
      <x:c r="A11" s="46"/>
      <x:c r="B11" s="46"/>
      <x:c r="C11" s="46"/>
      <x:c r="D11" s="46"/>
      <x:c r="E11" s="46"/>
      <x:c r="F11" s="46"/>
      <x:c r="G11" s="26" t="str">
        <x:v>Biotechnology</x:v>
      </x:c>
      <x:c r="H11" s="39" t="n">
        <x:f>COUNTIF('News Ledger'!$E$4:$E$10003,"*Biotechnology*")</x:f>
        <x:v>0</x:v>
      </x:c>
    </x:row>
    <x:row r="12">
      <x:c r="A12" s="46"/>
      <x:c r="B12" s="46"/>
      <x:c r="C12" s="46"/>
      <x:c r="D12" s="46"/>
      <x:c r="E12" s="46"/>
      <x:c r="F12" s="46"/>
      <x:c r="G12" s="27" t="str">
        <x:v>Healthcare</x:v>
      </x:c>
      <x:c r="H12" s="40" t="n">
        <x:f>COUNTIF('News Ledger'!$E$4:$E$10003,"*Healthcare*")</x:f>
        <x:v>0</x:v>
      </x:c>
    </x:row>
    <x:row r="13">
      <x:c r="A13" s="46"/>
      <x:c r="B13" s="46"/>
      <x:c r="C13" s="46"/>
      <x:c r="D13" s="46"/>
      <x:c r="E13" s="46"/>
      <x:c r="F13" s="46"/>
      <x:c r="G13" s="46"/>
      <x:c r="H13" s="46"/>
    </x:row>
    <x:row r="14" ht="26" customHeight="1">
      <x:c r="A14" s="43" t="str">
        <x:v>How to use this ledger</x:v>
      </x:c>
      <x:c r="B14" s="43"/>
      <x:c r="C14" s="43"/>
      <x:c r="D14" s="43"/>
      <x:c r="E14" s="43"/>
      <x:c r="F14" s="43"/>
      <x:c r="G14" s="43"/>
      <x:c r="H14" s="43"/>
    </x:row>
    <x:row r="15" ht="28" customHeight="1">
      <x:c r="A15" s="45" t="str">
        <x:v>1. Filter News Ledger by region, topic, and source; verify details at the original URL.</x:v>
      </x:c>
      <x:c r="B15" s="45"/>
      <x:c r="C15" s="45"/>
      <x:c r="D15" s="45"/>
      <x:c r="E15" s="45"/>
      <x:c r="F15" s="45"/>
      <x:c r="G15" s="45"/>
      <x:c r="H15" s="45"/>
    </x:row>
    <x:row r="16" ht="28" customHeight="1">
      <x:c r="A16" s="45" t="str">
        <x:v>2. Policy relevance is scored 0–5 from source type and policy terms.</x:v>
      </x:c>
      <x:c r="B16" s="45"/>
      <x:c r="C16" s="45"/>
      <x:c r="D16" s="45"/>
      <x:c r="E16" s="45"/>
      <x:c r="F16" s="45"/>
      <x:c r="G16" s="45"/>
      <x:c r="H16" s="45"/>
    </x:row>
    <x:row r="17" ht="28" customHeight="1">
      <x:c r="A17" s="45" t="str">
        <x:v>3. Canonical URLs and title fingerprints remove repeat coverage.</x:v>
      </x:c>
      <x:c r="B17" s="45"/>
      <x:c r="C17" s="45"/>
      <x:c r="D17" s="45"/>
      <x:c r="E17" s="45"/>
      <x:c r="F17" s="45"/>
      <x:c r="G17" s="45"/>
      <x:c r="H17" s="45"/>
    </x:row>
    <x:row r="18" ht="28" customHeight="1">
      <x:c r="A18" s="45" t="str">
        <x:v>4. Source Registry is an allowlist; anonymous blogs and content farms are excluded.</x:v>
      </x:c>
      <x:c r="B18" s="45"/>
      <x:c r="C18" s="45"/>
      <x:c r="D18" s="45"/>
      <x:c r="E18" s="45"/>
      <x:c r="F18" s="45"/>
      <x:c r="G18" s="45"/>
      <x:c r="H18" s="45"/>
    </x:row>
  </x:sheetData>
  <x:mergeCells>
    <x:mergeCell ref="A1:H1"/>
    <x:mergeCell ref="A2:H2"/>
    <x:mergeCell ref="A4:B4"/>
    <x:mergeCell ref="D4:E4"/>
    <x:mergeCell ref="G4:H4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28" hidden="0" customWidth="1"/>
    <x:col min="6" max="6" width="16" hidden="0" customWidth="1"/>
    <x:col min="7" max="7" width="22" hidden="0" customWidth="1"/>
    <x:col min="8" max="8" width="27" hidden="0" customWidth="1"/>
    <x:col min="9" max="9" width="56" hidden="0" customWidth="1"/>
    <x:col min="10" max="10" width="72" hidden="0" customWidth="1"/>
    <x:col min="11" max="11" width="48" hidden="0" customWidth="1"/>
    <x:col min="12" max="12" width="25" hidden="0" customWidth="1"/>
    <x:col min="13" max="13" width="20" hidden="0" customWidth="1"/>
    <x:col min="14" max="14" width="14" hidden="0" customWidth="1"/>
    <x:col min="15" max="15" width="30" hidden="0" customWidth="1"/>
  </x:cols>
  <x:sheetData>
    <x:row r="1" ht="34" customHeight="1">
      <x:c r="A1" s="4" t="str">
        <x:v>News Ledger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13" t="str">
        <x:v>Master article ledger with canonical-URL and title-fingerprint deduplication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5"/>
    </x:row>
    <x:row r="3" ht="31" customHeight="1">
      <x:c r="A3" s="57" t="str">
        <x:v>Collected At (JST)</x:v>
      </x:c>
      <x:c r="B3" s="58" t="str">
        <x:v>Published At</x:v>
      </x:c>
      <x:c r="C3" s="58" t="str">
        <x:v>Region</x:v>
      </x:c>
      <x:c r="D3" s="58" t="str">
        <x:v>Country / Area</x:v>
      </x:c>
      <x:c r="E3" s="58" t="str">
        <x:v>Topic</x:v>
      </x:c>
      <x:c r="F3" s="58" t="str">
        <x:v>Policy Relevance</x:v>
      </x:c>
      <x:c r="G3" s="58" t="str">
        <x:v>Source Type</x:v>
      </x:c>
      <x:c r="H3" s="58" t="str">
        <x:v>Source</x:v>
      </x:c>
      <x:c r="I3" s="58" t="str">
        <x:v>Title</x:v>
      </x:c>
      <x:c r="J3" s="58" t="str">
        <x:v>Summary</x:v>
      </x:c>
      <x:c r="K3" s="58" t="str">
        <x:v>URL</x:v>
      </x:c>
      <x:c r="L3" s="58" t="str">
        <x:v>Canonical ID</x:v>
      </x:c>
      <x:c r="M3" s="58" t="str">
        <x:v>First Seen</x:v>
      </x:c>
      <x:c r="N3" s="58" t="str">
        <x:v>Status</x:v>
      </x:c>
      <x:c r="O3" s="59" t="str">
        <x:v>Notes</x:v>
      </x:c>
    </x:row>
    <x:row r="4" ht="42" customHeight="1">
      <x:c r="A4" s="62"/>
      <x:c r="B4" s="62"/>
      <x:c r="C4" s="60"/>
      <x:c r="D4" s="60"/>
      <x:c r="E4" s="60"/>
      <x:c r="F4" s="61"/>
      <x:c r="G4" s="60"/>
      <x:c r="H4" s="60"/>
      <x:c r="I4" s="60"/>
      <x:c r="J4" s="60"/>
      <x:c r="K4" s="60"/>
      <x:c r="L4" s="60"/>
      <x:c r="M4" s="62"/>
      <x:c r="N4" s="60"/>
      <x:c r="O4" s="60"/>
    </x:row>
  </x:sheetData>
  <x:mergeCells>
    <x:mergeCell ref="A1:O1"/>
    <x:mergeCell ref="A2:O2"/>
  </x:mergeCells>
  <x:conditionalFormatting sqref="F4:F4">
    <x:cfRule type="colorScale" priority="1">
      <x:colorScale>
        <x:cfvo type="min"/>
        <x:cfvo type="percentile" val="50"/>
        <x:cfvo type="max"/>
        <x:color rgb="FFEEF2F4"/>
        <x:color rgb="FFF7ECD4"/>
        <x:color rgb="FFF6C9C9"/>
      </x:colorScale>
    </x:cfRule>
  </x:conditionalFormatting>
  <x:dataValidations count="1">
    <x:dataValidation type="list" sqref="N4">
      <x:formula1>"New,Reviewed,Follow-up,Archived"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7fde5df99c4b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30" hidden="0" customWidth="1"/>
    <x:col min="5" max="5" width="30" hidden="0" customWidth="1"/>
    <x:col min="6" max="6" width="34" hidden="0" customWidth="1"/>
    <x:col min="7" max="7" width="58" hidden="0" customWidth="1"/>
    <x:col min="8" max="8" width="48" hidden="0" customWidth="1"/>
    <x:col min="9" max="9" width="10" hidden="0" customWidth="1"/>
    <x:col min="10" max="10" width="13" hidden="0" customWidth="1"/>
    <x:col min="11" max="11" width="56" hidden="0" customWidth="1"/>
    <x:col min="12" max="12" width="14" hidden="0" customWidth="1"/>
    <x:col min="13" max="13" width="12" hidden="0" customWidth="1"/>
    <x:col min="14" max="14" width="34" hidden="0" customWidth="1"/>
  </x:cols>
  <x:sheetData>
    <x:row r="1" ht="34" customHeight="1">
      <x:c r="A1" s="4" t="str">
        <x:v>Source Registry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13" t="str">
        <x:v>Allowlist: official/public sources and established media; S/A daily, B weekly; strict relevance on broad sources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5"/>
    </x:row>
    <x:row r="3" ht="31" customHeight="1">
      <x:c r="A3" s="57" t="str">
        <x:v>Active</x:v>
      </x:c>
      <x:c r="B3" s="58" t="str">
        <x:v>Region</x:v>
      </x:c>
      <x:c r="C3" s="58" t="str">
        <x:v>Country / Area</x:v>
      </x:c>
      <x:c r="D3" s="58" t="str">
        <x:v>Category</x:v>
      </x:c>
      <x:c r="E3" s="58" t="str">
        <x:v>Source</x:v>
      </x:c>
      <x:c r="F3" s="58" t="str">
        <x:v>Organization</x:v>
      </x:c>
      <x:c r="G3" s="58" t="str">
        <x:v>Feed URL</x:v>
      </x:c>
      <x:c r="H3" s="58" t="str">
        <x:v>Homepage</x:v>
      </x:c>
      <x:c r="I3" s="58" t="str">
        <x:v>Priority</x:v>
      </x:c>
      <x:c r="J3" s="58" t="str">
        <x:v>Native Feed</x:v>
      </x:c>
      <x:c r="K3" s="59" t="str">
        <x:v>Notes</x:v>
      </x:c>
      <x:c r="L3" s="93" t="str">
        <x:v>Coverage Tier</x:v>
      </x:c>
      <x:c r="M3" s="93" t="str">
        <x:v>Cadence</x:v>
      </x:c>
      <x:c r="N3" s="93" t="str">
        <x:v>Topic Tags</x:v>
      </x:c>
    </x:row>
    <x:row r="4" ht="42" customHeight="1">
      <x:c r="A4" s="60" t="str">
        <x:v>Yes</x:v>
      </x:c>
      <x:c r="B4" s="60" t="str">
        <x:v>Global</x:v>
      </x:c>
      <x:c r="C4" s="60" t="str">
        <x:v>Global</x:v>
      </x:c>
      <x:c r="D4" s="60" t="str">
        <x:v>Technology and policy</x:v>
      </x:c>
      <x:c r="E4" s="60" t="str">
        <x:v>Bloomberg Technology</x:v>
      </x:c>
      <x:c r="F4" s="60" t="str">
        <x:v>Bloomberg</x:v>
      </x:c>
      <x:c r="G4" s="60" t="str">
        <x:v>https://www.bloomberg.com/feeds/technology/news.rss</x:v>
      </x:c>
      <x:c r="H4" s="60" t="str">
        <x:v>https://www.bloomberg.com/technology</x:v>
      </x:c>
      <x:c r="I4" s="61" t="n">
        <x:v>5</x:v>
      </x:c>
      <x:c r="J4" s="60" t="str">
        <x:v>Yes</x:v>
      </x:c>
      <x:c r="K4" s="60" t="str">
        <x:v>Established global business and policy news.</x:v>
      </x:c>
      <x:c r="L4" s="94" t="str">
        <x:v>S</x:v>
      </x:c>
      <x:c r="M4" s="94" t="str">
        <x:v>Daily</x:v>
      </x:c>
      <x:c r="N4" s="95" t="str"/>
    </x:row>
    <x:row r="5" ht="42" customHeight="1">
      <x:c r="A5" s="64" t="str">
        <x:v>Yes</x:v>
      </x:c>
      <x:c r="B5" s="64" t="str">
        <x:v>Global</x:v>
      </x:c>
      <x:c r="C5" s="64" t="str">
        <x:v>United Kingdom</x:v>
      </x:c>
      <x:c r="D5" s="64" t="str">
        <x:v>Science and environment</x:v>
      </x:c>
      <x:c r="E5" s="64" t="str">
        <x:v>BBC Science &amp; Environment</x:v>
      </x:c>
      <x:c r="F5" s="64" t="str">
        <x:v>BBC</x:v>
      </x:c>
      <x:c r="G5" s="64" t="str">
        <x:v>https://feeds.bbci.co.uk/news/science_and_environment/rss.xml</x:v>
      </x:c>
      <x:c r="H5" s="64" t="str">
        <x:v>https://www.bbc.com/news/science_and_environment</x:v>
      </x:c>
      <x:c r="I5" s="65" t="n">
        <x:v>4</x:v>
      </x:c>
      <x:c r="J5" s="64" t="str">
        <x:v>Yes</x:v>
      </x:c>
      <x:c r="K5" s="64" t="str">
        <x:v>Broad science coverage; topic filter is applied.</x:v>
      </x:c>
      <x:c r="L5" s="96" t="str">
        <x:v>A</x:v>
      </x:c>
      <x:c r="M5" s="96" t="str">
        <x:v>Daily</x:v>
      </x:c>
      <x:c r="N5" s="97" t="str"/>
    </x:row>
    <x:row r="6" ht="42" customHeight="1">
      <x:c r="A6" s="64" t="str">
        <x:v>Yes</x:v>
      </x:c>
      <x:c r="B6" s="64" t="str">
        <x:v>Global</x:v>
      </x:c>
      <x:c r="C6" s="64" t="str">
        <x:v>United Kingdom</x:v>
      </x:c>
      <x:c r="D6" s="64" t="str">
        <x:v>Technology</x:v>
      </x:c>
      <x:c r="E6" s="64" t="str">
        <x:v>The Guardian Technology</x:v>
      </x:c>
      <x:c r="F6" s="64" t="str">
        <x:v>Guardian News &amp; Media</x:v>
      </x:c>
      <x:c r="G6" s="64" t="str">
        <x:v>https://www.theguardian.com/technology/rss</x:v>
      </x:c>
      <x:c r="H6" s="64" t="str">
        <x:v>https://www.theguardian.com/technology</x:v>
      </x:c>
      <x:c r="I6" s="65" t="n">
        <x:v>3</x:v>
      </x:c>
      <x:c r="J6" s="64" t="str">
        <x:v>Yes</x:v>
      </x:c>
      <x:c r="K6" s="64" t="str">
        <x:v>Major media; strict topic filter is applied.</x:v>
      </x:c>
      <x:c r="L6" s="96" t="str">
        <x:v>B</x:v>
      </x:c>
      <x:c r="M6" s="96" t="str">
        <x:v>Weekly</x:v>
      </x:c>
      <x:c r="N6" s="97" t="str"/>
    </x:row>
    <x:row r="7" ht="42" customHeight="1">
      <x:c r="A7" s="64" t="str">
        <x:v>Yes</x:v>
      </x:c>
      <x:c r="B7" s="64" t="str">
        <x:v>Global</x:v>
      </x:c>
      <x:c r="C7" s="64" t="str">
        <x:v>United States</x:v>
      </x:c>
      <x:c r="D7" s="64" t="str">
        <x:v>Emerging technology</x:v>
      </x:c>
      <x:c r="E7" s="64" t="str">
        <x:v>MIT Technology Review</x:v>
      </x:c>
      <x:c r="F7" s="64" t="str">
        <x:v>MIT Technology Review</x:v>
      </x:c>
      <x:c r="G7" s="64" t="str">
        <x:v>https://www.technologyreview.com/feed/</x:v>
      </x:c>
      <x:c r="H7" s="64" t="str">
        <x:v>https://www.technologyreview.com/</x:v>
      </x:c>
      <x:c r="I7" s="65" t="n">
        <x:v>4</x:v>
      </x:c>
      <x:c r="J7" s="64" t="str">
        <x:v>Yes</x:v>
      </x:c>
      <x:c r="K7" s="64" t="str">
        <x:v>Established specialist publication.</x:v>
      </x:c>
      <x:c r="L7" s="96" t="str">
        <x:v>A</x:v>
      </x:c>
      <x:c r="M7" s="96" t="str">
        <x:v>Daily</x:v>
      </x:c>
      <x:c r="N7" s="97" t="str"/>
    </x:row>
    <x:row r="8" ht="42" customHeight="1">
      <x:c r="A8" s="64" t="str">
        <x:v>Yes</x:v>
      </x:c>
      <x:c r="B8" s="64" t="str">
        <x:v>Global</x:v>
      </x:c>
      <x:c r="C8" s="64" t="str">
        <x:v>United States</x:v>
      </x:c>
      <x:c r="D8" s="64" t="str">
        <x:v>Engineering and technology</x:v>
      </x:c>
      <x:c r="E8" s="64" t="str">
        <x:v>IEEE Spectrum</x:v>
      </x:c>
      <x:c r="F8" s="64" t="str">
        <x:v>IEEE</x:v>
      </x:c>
      <x:c r="G8" s="64" t="str">
        <x:v>https://spectrum.ieee.org/feeds/feed.rss</x:v>
      </x:c>
      <x:c r="H8" s="64" t="str">
        <x:v>https://spectrum.ieee.org/</x:v>
      </x:c>
      <x:c r="I8" s="65" t="n">
        <x:v>4</x:v>
      </x:c>
      <x:c r="J8" s="64" t="str">
        <x:v>Yes</x:v>
      </x:c>
      <x:c r="K8" s="64" t="str">
        <x:v>IEEE editorial publication.</x:v>
      </x:c>
      <x:c r="L8" s="96" t="str">
        <x:v>A</x:v>
      </x:c>
      <x:c r="M8" s="96" t="str">
        <x:v>Daily</x:v>
      </x:c>
      <x:c r="N8" s="97" t="str"/>
    </x:row>
    <x:row r="9" ht="42" customHeight="1">
      <x:c r="A9" s="64" t="str">
        <x:v>Yes</x:v>
      </x:c>
      <x:c r="B9" s="64" t="str">
        <x:v>Global</x:v>
      </x:c>
      <x:c r="C9" s="64" t="str">
        <x:v>Global</x:v>
      </x:c>
      <x:c r="D9" s="64" t="str">
        <x:v>Science</x:v>
      </x:c>
      <x:c r="E9" s="64" t="str">
        <x:v>Nature</x:v>
      </x:c>
      <x:c r="F9" s="64" t="str">
        <x:v>Springer Nature</x:v>
      </x:c>
      <x:c r="G9" s="64" t="str">
        <x:v>https://www.nature.com/nature.rss</x:v>
      </x:c>
      <x:c r="H9" s="64" t="str">
        <x:v>https://www.nature.com/</x:v>
      </x:c>
      <x:c r="I9" s="65" t="n">
        <x:v>4</x:v>
      </x:c>
      <x:c r="J9" s="64" t="str">
        <x:v>Yes</x:v>
      </x:c>
      <x:c r="K9" s="64" t="str">
        <x:v>Leading scientific publication; innovation-topic filter is applied.</x:v>
      </x:c>
      <x:c r="L9" s="96" t="str">
        <x:v>A</x:v>
      </x:c>
      <x:c r="M9" s="96" t="str">
        <x:v>Daily</x:v>
      </x:c>
      <x:c r="N9" s="97" t="str"/>
    </x:row>
    <x:row r="10" ht="42" customHeight="1">
      <x:c r="A10" s="64" t="str">
        <x:v>Yes</x:v>
      </x:c>
      <x:c r="B10" s="64" t="str">
        <x:v>Global</x:v>
      </x:c>
      <x:c r="C10" s="64" t="str">
        <x:v>United States</x:v>
      </x:c>
      <x:c r="D10" s="64" t="str">
        <x:v>Science</x:v>
      </x:c>
      <x:c r="E10" s="64" t="str">
        <x:v>Science</x:v>
      </x:c>
      <x:c r="F10" s="64" t="str">
        <x:v>AAAS</x:v>
      </x:c>
      <x:c r="G10" s="64" t="str">
        <x:v>https://www.science.org/action/showFeed?type=etoc&amp;feed=rss&amp;jc=science</x:v>
      </x:c>
      <x:c r="H10" s="64" t="str">
        <x:v>https://www.science.org/</x:v>
      </x:c>
      <x:c r="I10" s="65" t="n">
        <x:v>4</x:v>
      </x:c>
      <x:c r="J10" s="64" t="str">
        <x:v>Yes</x:v>
      </x:c>
      <x:c r="K10" s="64" t="str">
        <x:v>Leading scientific publication; the publisher may rate-limit automated access.</x:v>
      </x:c>
      <x:c r="L10" s="96" t="str">
        <x:v>A</x:v>
      </x:c>
      <x:c r="M10" s="96" t="str">
        <x:v>Daily</x:v>
      </x:c>
      <x:c r="N10" s="97" t="str"/>
    </x:row>
    <x:row r="11" ht="42" customHeight="1">
      <x:c r="A11" s="64" t="str">
        <x:v>Yes</x:v>
      </x:c>
      <x:c r="B11" s="64" t="str">
        <x:v>Asia</x:v>
      </x:c>
      <x:c r="C11" s="64" t="str">
        <x:v>Hong Kong</x:v>
      </x:c>
      <x:c r="D11" s="64" t="str">
        <x:v>Technology</x:v>
      </x:c>
      <x:c r="E11" s="64" t="str">
        <x:v>South China Morning Post Technology</x:v>
      </x:c>
      <x:c r="F11" s="64" t="str">
        <x:v>South China Morning Post</x:v>
      </x:c>
      <x:c r="G11" s="64" t="str">
        <x:v>https://www.scmp.com/rss/91/feed</x:v>
      </x:c>
      <x:c r="H11" s="64" t="str">
        <x:v>https://www.scmp.com/tech</x:v>
      </x:c>
      <x:c r="I11" s="65" t="n">
        <x:v>4</x:v>
      </x:c>
      <x:c r="J11" s="64" t="str">
        <x:v>Yes</x:v>
      </x:c>
      <x:c r="K11" s="64" t="str">
        <x:v>Major Asia-focused media.</x:v>
      </x:c>
      <x:c r="L11" s="96" t="str">
        <x:v>A</x:v>
      </x:c>
      <x:c r="M11" s="96" t="str">
        <x:v>Daily</x:v>
      </x:c>
      <x:c r="N11" s="97" t="str"/>
    </x:row>
    <x:row r="12" ht="42" customHeight="1">
      <x:c r="A12" s="64" t="str">
        <x:v>Yes</x:v>
      </x:c>
      <x:c r="B12" s="64" t="str">
        <x:v>Middle East</x:v>
      </x:c>
      <x:c r="C12" s="64" t="str">
        <x:v>Saudi Arabia</x:v>
      </x:c>
      <x:c r="D12" s="64" t="str">
        <x:v>Technology</x:v>
      </x:c>
      <x:c r="E12" s="64" t="str">
        <x:v>Arab News Technology</x:v>
      </x:c>
      <x:c r="F12" s="64" t="str">
        <x:v>Arab News</x:v>
      </x:c>
      <x:c r="G12" s="64" t="str">
        <x:v>https://www.arabnews.com/taxonomy/term/2936/feed</x:v>
      </x:c>
      <x:c r="H12" s="64" t="str">
        <x:v>https://www.arabnews.com/tags/technology</x:v>
      </x:c>
      <x:c r="I12" s="65" t="n">
        <x:v>3</x:v>
      </x:c>
      <x:c r="J12" s="64" t="str">
        <x:v>Yes</x:v>
      </x:c>
      <x:c r="K12" s="64" t="str">
        <x:v>Established regional media; topic filter is applied.</x:v>
      </x:c>
      <x:c r="L12" s="96" t="str">
        <x:v>B</x:v>
      </x:c>
      <x:c r="M12" s="96" t="str">
        <x:v>Weekly</x:v>
      </x:c>
      <x:c r="N12" s="97" t="str"/>
    </x:row>
    <x:row r="13" ht="42" customHeight="1">
      <x:c r="A13" s="64" t="str">
        <x:v>Yes</x:v>
      </x:c>
      <x:c r="B13" s="64" t="str">
        <x:v>Middle East</x:v>
      </x:c>
      <x:c r="C13" s="64" t="str">
        <x:v>United Arab Emirates</x:v>
      </x:c>
      <x:c r="D13" s="64" t="str">
        <x:v>Technology and innovation</x:v>
      </x:c>
      <x:c r="E13" s="64" t="str">
        <x:v>The National Technology</x:v>
      </x:c>
      <x:c r="F13" s="64" t="str">
        <x:v>The National</x:v>
      </x:c>
      <x:c r="G13" s="64" t="str">
        <x:v>https://www.thenationalnews.com/arc/outboundfeeds/rss/category/future/technology/?outputType=xml</x:v>
      </x:c>
      <x:c r="H13" s="64" t="str">
        <x:v>https://www.thenationalnews.com/future/technology/</x:v>
      </x:c>
      <x:c r="I13" s="65" t="n">
        <x:v>4</x:v>
      </x:c>
      <x:c r="J13" s="64" t="str">
        <x:v>Yes</x:v>
      </x:c>
      <x:c r="K13" s="64" t="str">
        <x:v>Established UAE-based regional newspaper; official technology feed.</x:v>
      </x:c>
      <x:c r="L13" s="96" t="str">
        <x:v>A</x:v>
      </x:c>
      <x:c r="M13" s="96" t="str">
        <x:v>Daily</x:v>
      </x:c>
      <x:c r="N13" s="97" t="str"/>
    </x:row>
    <x:row r="14" ht="42" customHeight="1">
      <x:c r="A14" s="64" t="str">
        <x:v>Yes</x:v>
      </x:c>
      <x:c r="B14" s="64" t="str">
        <x:v>United States</x:v>
      </x:c>
      <x:c r="C14" s="64" t="str">
        <x:v>United States</x:v>
      </x:c>
      <x:c r="D14" s="64" t="str">
        <x:v>Technology policy</x:v>
      </x:c>
      <x:c r="E14" s="64" t="str">
        <x:v>Brookings TechTank</x:v>
      </x:c>
      <x:c r="F14" s="64" t="str">
        <x:v>Brookings Institution</x:v>
      </x:c>
      <x:c r="G14" s="64" t="str">
        <x:v>https://www.brookings.edu/tags/techtank/</x:v>
      </x:c>
      <x:c r="H14" s="64" t="str">
        <x:v>https://www.brookings.edu/tags/techtank/</x:v>
      </x:c>
      <x:c r="I14" s="65" t="n">
        <x:v>5</x:v>
      </x:c>
      <x:c r="J14" s="64" t="str">
        <x:v>No</x:v>
      </x:c>
      <x:c r="K14" s="64" t="str">
        <x:v>Technology-policy analysis from Brookings; official listing-page fallback.</x:v>
      </x:c>
      <x:c r="L14" s="96" t="str">
        <x:v>S</x:v>
      </x:c>
      <x:c r="M14" s="96" t="str">
        <x:v>Daily</x:v>
      </x:c>
      <x:c r="N14" s="97" t="str"/>
    </x:row>
    <x:row r="15" ht="42" customHeight="1">
      <x:c r="A15" s="64" t="str">
        <x:v>Yes</x:v>
      </x:c>
      <x:c r="B15" s="64" t="str">
        <x:v>United States</x:v>
      </x:c>
      <x:c r="C15" s="64" t="str">
        <x:v>United States</x:v>
      </x:c>
      <x:c r="D15" s="64" t="str">
        <x:v>Technology and industrial policy</x:v>
      </x:c>
      <x:c r="E15" s="64" t="str">
        <x:v>CSIS Analysis</x:v>
      </x:c>
      <x:c r="F15" s="64" t="str">
        <x:v>Center for Strategic and International Studies</x:v>
      </x:c>
      <x:c r="G15" s="64" t="str">
        <x:v>https://www.csis.org/rss.xml</x:v>
      </x:c>
      <x:c r="H15" s="64" t="str">
        <x:v>https://www.csis.org/analysis</x:v>
      </x:c>
      <x:c r="I15" s="65" t="n">
        <x:v>4</x:v>
      </x:c>
      <x:c r="J15" s="64" t="str">
        <x:v>Yes</x:v>
      </x:c>
      <x:c r="K15" s="64" t="str">
        <x:v>Broad analysis feed; innovation-topic filter is applied.</x:v>
      </x:c>
      <x:c r="L15" s="96" t="str">
        <x:v>A</x:v>
      </x:c>
      <x:c r="M15" s="96" t="str">
        <x:v>Daily</x:v>
      </x:c>
      <x:c r="N15" s="97" t="str"/>
    </x:row>
    <x:row r="16" ht="42" customHeight="1">
      <x:c r="A16" s="64" t="str">
        <x:v>Yes</x:v>
      </x:c>
      <x:c r="B16" s="64" t="str">
        <x:v>United States</x:v>
      </x:c>
      <x:c r="C16" s="64" t="str">
        <x:v>United States</x:v>
      </x:c>
      <x:c r="D16" s="64" t="str">
        <x:v>Emerging technology policy</x:v>
      </x:c>
      <x:c r="E16" s="64" t="str">
        <x:v>CSET</x:v>
      </x:c>
      <x:c r="F16" s="64" t="str">
        <x:v>Center for Security and Emerging Technology</x:v>
      </x:c>
      <x:c r="G16" s="64" t="str">
        <x:v>https://cset.georgetown.edu/feed/</x:v>
      </x:c>
      <x:c r="H16" s="64" t="str">
        <x:v>https://cset.georgetown.edu/</x:v>
      </x:c>
      <x:c r="I16" s="65" t="n">
        <x:v>5</x:v>
      </x:c>
      <x:c r="J16" s="64" t="str">
        <x:v>Yes</x:v>
      </x:c>
      <x:c r="K16" s="64" t="str">
        <x:v>University-based emerging-technology policy center.</x:v>
      </x:c>
      <x:c r="L16" s="96" t="str">
        <x:v>S</x:v>
      </x:c>
      <x:c r="M16" s="96" t="str">
        <x:v>Daily</x:v>
      </x:c>
      <x:c r="N16" s="97" t="str"/>
    </x:row>
    <x:row r="17" ht="42" customHeight="1">
      <x:c r="A17" s="64" t="str">
        <x:v>Yes</x:v>
      </x:c>
      <x:c r="B17" s="64" t="str">
        <x:v>EU &amp; Europe</x:v>
      </x:c>
      <x:c r="C17" s="64" t="str">
        <x:v>Belgium</x:v>
      </x:c>
      <x:c r="D17" s="64" t="str">
        <x:v>Economic and innovation policy</x:v>
      </x:c>
      <x:c r="E17" s="64" t="str">
        <x:v>Bruegel</x:v>
      </x:c>
      <x:c r="F17" s="64" t="str">
        <x:v>Bruegel</x:v>
      </x:c>
      <x:c r="G17" s="64" t="str">
        <x:v>https://www.bruegel.org/rss.xml</x:v>
      </x:c>
      <x:c r="H17" s="64" t="str">
        <x:v>https://www.bruegel.org/</x:v>
      </x:c>
      <x:c r="I17" s="65" t="n">
        <x:v>4</x:v>
      </x:c>
      <x:c r="J17" s="64" t="str">
        <x:v>Yes</x:v>
      </x:c>
      <x:c r="K17" s="64" t="str">
        <x:v>European economic-policy institute.</x:v>
      </x:c>
      <x:c r="L17" s="96" t="str">
        <x:v>A</x:v>
      </x:c>
      <x:c r="M17" s="96" t="str">
        <x:v>Daily</x:v>
      </x:c>
      <x:c r="N17" s="97" t="str"/>
    </x:row>
    <x:row r="18" ht="42" customHeight="1">
      <x:c r="A18" s="64" t="str">
        <x:v>Yes</x:v>
      </x:c>
      <x:c r="B18" s="64" t="str">
        <x:v>Asia</x:v>
      </x:c>
      <x:c r="C18" s="64" t="str">
        <x:v>China / Germany</x:v>
      </x:c>
      <x:c r="D18" s="64" t="str">
        <x:v>China technology and industrial policy</x:v>
      </x:c>
      <x:c r="E18" s="64" t="str">
        <x:v>MERICS</x:v>
      </x:c>
      <x:c r="F18" s="64" t="str">
        <x:v>Mercator Institute for China Studies</x:v>
      </x:c>
      <x:c r="G18" s="64" t="str">
        <x:v>https://merics.org/en/rss.xml</x:v>
      </x:c>
      <x:c r="H18" s="64" t="str">
        <x:v>https://merics.org/en</x:v>
      </x:c>
      <x:c r="I18" s="65" t="n">
        <x:v>4</x:v>
      </x:c>
      <x:c r="J18" s="64" t="str">
        <x:v>Yes</x:v>
      </x:c>
      <x:c r="K18" s="64" t="str">
        <x:v>China-focused policy institute.</x:v>
      </x:c>
      <x:c r="L18" s="96" t="str">
        <x:v>A</x:v>
      </x:c>
      <x:c r="M18" s="96" t="str">
        <x:v>Daily</x:v>
      </x:c>
      <x:c r="N18" s="97" t="str"/>
    </x:row>
    <x:row r="19" ht="42" customHeight="1">
      <x:c r="A19" s="64" t="str">
        <x:v>Yes</x:v>
      </x:c>
      <x:c r="B19" s="64" t="str">
        <x:v>United States</x:v>
      </x:c>
      <x:c r="C19" s="64" t="str">
        <x:v>United States</x:v>
      </x:c>
      <x:c r="D19" s="64" t="str">
        <x:v>Research policy and science</x:v>
      </x:c>
      <x:c r="E19" s="64" t="str">
        <x:v>National Science Foundation News</x:v>
      </x:c>
      <x:c r="F19" s="64" t="str">
        <x:v>U.S. National Science Foundation</x:v>
      </x:c>
      <x:c r="G19" s="64" t="str">
        <x:v>https://www.nsf.gov/rss/rss_www_news.xml</x:v>
      </x:c>
      <x:c r="H19" s="64" t="str">
        <x:v>https://www.nsf.gov/news</x:v>
      </x:c>
      <x:c r="I19" s="65" t="n">
        <x:v>5</x:v>
      </x:c>
      <x:c r="J19" s="64" t="str">
        <x:v>Yes</x:v>
      </x:c>
      <x:c r="K19" s="64" t="str">
        <x:v>Official U.S. government source.</x:v>
      </x:c>
      <x:c r="L19" s="96" t="str">
        <x:v>S</x:v>
      </x:c>
      <x:c r="M19" s="96" t="str">
        <x:v>Daily</x:v>
      </x:c>
      <x:c r="N19" s="97" t="str"/>
    </x:row>
    <x:row r="20" ht="42" customHeight="1">
      <x:c r="A20" s="64" t="str">
        <x:v>Yes</x:v>
      </x:c>
      <x:c r="B20" s="64" t="str">
        <x:v>United States</x:v>
      </x:c>
      <x:c r="C20" s="64" t="str">
        <x:v>United States</x:v>
      </x:c>
      <x:c r="D20" s="64" t="str">
        <x:v>Standards, science and industrial policy</x:v>
      </x:c>
      <x:c r="E20" s="64" t="str">
        <x:v>NIST News</x:v>
      </x:c>
      <x:c r="F20" s="64" t="str">
        <x:v>National Institute of Standards and Technology</x:v>
      </x:c>
      <x:c r="G20" s="64" t="str">
        <x:v>https://www.nist.gov/news-events/news/rss.xml</x:v>
      </x:c>
      <x:c r="H20" s="64" t="str">
        <x:v>https://www.nist.gov/news-events/news</x:v>
      </x:c>
      <x:c r="I20" s="65" t="n">
        <x:v>5</x:v>
      </x:c>
      <x:c r="J20" s="64" t="str">
        <x:v>Yes</x:v>
      </x:c>
      <x:c r="K20" s="64" t="str">
        <x:v>Official U.S. government source.</x:v>
      </x:c>
      <x:c r="L20" s="96" t="str">
        <x:v>S</x:v>
      </x:c>
      <x:c r="M20" s="96" t="str">
        <x:v>Daily</x:v>
      </x:c>
      <x:c r="N20" s="97" t="str"/>
    </x:row>
    <x:row r="21" ht="42" customHeight="1">
      <x:c r="A21" s="64" t="str">
        <x:v>Yes</x:v>
      </x:c>
      <x:c r="B21" s="64" t="str">
        <x:v>United States</x:v>
      </x:c>
      <x:c r="C21" s="64" t="str">
        <x:v>United States</x:v>
      </x:c>
      <x:c r="D21" s="64" t="str">
        <x:v>Biotechnology and healthcare</x:v>
      </x:c>
      <x:c r="E21" s="64" t="str">
        <x:v>NIH News Releases</x:v>
      </x:c>
      <x:c r="F21" s="64" t="str">
        <x:v>U.S. National Institutes of Health</x:v>
      </x:c>
      <x:c r="G21" s="64" t="str">
        <x:v>https://www.nih.gov/news-events/news-releases/rss.xml</x:v>
      </x:c>
      <x:c r="H21" s="64" t="str">
        <x:v>https://www.nih.gov/news-events/news-releases</x:v>
      </x:c>
      <x:c r="I21" s="65" t="n">
        <x:v>5</x:v>
      </x:c>
      <x:c r="J21" s="64" t="str">
        <x:v>Yes</x:v>
      </x:c>
      <x:c r="K21" s="64" t="str">
        <x:v>Official U.S. biomedical-research source.</x:v>
      </x:c>
      <x:c r="L21" s="96" t="str">
        <x:v>S</x:v>
      </x:c>
      <x:c r="M21" s="96" t="str">
        <x:v>Daily</x:v>
      </x:c>
      <x:c r="N21" s="97" t="str">
        <x:v>Biotechnology | Healthcare</x:v>
      </x:c>
    </x:row>
    <x:row r="22" ht="42" customHeight="1">
      <x:c r="A22" s="64" t="str">
        <x:v>Yes</x:v>
      </x:c>
      <x:c r="B22" s="64" t="str">
        <x:v>United States</x:v>
      </x:c>
      <x:c r="C22" s="64" t="str">
        <x:v>United States</x:v>
      </x:c>
      <x:c r="D22" s="64" t="str">
        <x:v>Energy, quantum and research policy</x:v>
      </x:c>
      <x:c r="E22" s="64" t="str">
        <x:v>DOE Office of Science News</x:v>
      </x:c>
      <x:c r="F22" s="64" t="str">
        <x:v>U.S. Department of Energy</x:v>
      </x:c>
      <x:c r="G22" s="64" t="str">
        <x:v>https://www.energy.gov/rss/science/3662436</x:v>
      </x:c>
      <x:c r="H22" s="64" t="str">
        <x:v>https://www.energy.gov/science/listings/office-science-news</x:v>
      </x:c>
      <x:c r="I22" s="65" t="n">
        <x:v>5</x:v>
      </x:c>
      <x:c r="J22" s="64" t="str">
        <x:v>Yes</x:v>
      </x:c>
      <x:c r="K22" s="64" t="str">
        <x:v>Official U.S. government source; includes fusion and quantum policy.</x:v>
      </x:c>
      <x:c r="L22" s="96" t="str">
        <x:v>S</x:v>
      </x:c>
      <x:c r="M22" s="96" t="str">
        <x:v>Daily</x:v>
      </x:c>
      <x:c r="N22" s="97" t="str">
        <x:v>Quantum</x:v>
      </x:c>
    </x:row>
    <x:row r="23" ht="42" customHeight="1">
      <x:c r="A23" s="64" t="str">
        <x:v>Yes</x:v>
      </x:c>
      <x:c r="B23" s="64" t="str">
        <x:v>EU &amp; Europe</x:v>
      </x:c>
      <x:c r="C23" s="64" t="str">
        <x:v>European Union</x:v>
      </x:c>
      <x:c r="D23" s="64" t="str">
        <x:v>EU policy</x:v>
      </x:c>
      <x:c r="E23" s="64" t="str">
        <x:v>European Commission Press Corner</x:v>
      </x:c>
      <x:c r="F23" s="64" t="str">
        <x:v>European Commission</x:v>
      </x:c>
      <x:c r="G23" s="64" t="str">
        <x:v>https://ec.europa.eu/commission/presscorner/api/rss?language=en&amp;documenttype=press_release</x:v>
      </x:c>
      <x:c r="H23" s="64" t="str">
        <x:v>https://ec.europa.eu/commission/presscorner/home/en</x:v>
      </x:c>
      <x:c r="I23" s="65" t="n">
        <x:v>5</x:v>
      </x:c>
      <x:c r="J23" s="64" t="str">
        <x:v>Yes</x:v>
      </x:c>
      <x:c r="K23" s="64" t="str">
        <x:v>Official European Commission press releases.</x:v>
      </x:c>
      <x:c r="L23" s="96" t="str">
        <x:v>S</x:v>
      </x:c>
      <x:c r="M23" s="96" t="str">
        <x:v>Daily</x:v>
      </x:c>
      <x:c r="N23" s="97" t="str"/>
    </x:row>
    <x:row r="24" ht="42" customHeight="1">
      <x:c r="A24" s="64" t="str">
        <x:v>Yes</x:v>
      </x:c>
      <x:c r="B24" s="64" t="str">
        <x:v>EU &amp; Europe</x:v>
      </x:c>
      <x:c r="C24" s="64" t="str">
        <x:v>United Kingdom</x:v>
      </x:c>
      <x:c r="D24" s="64" t="str">
        <x:v>Science and innovation policy</x:v>
      </x:c>
      <x:c r="E24" s="64" t="str">
        <x:v>UK DSIT</x:v>
      </x:c>
      <x:c r="F24" s="64" t="str">
        <x:v>Department for Science, Innovation and Technology</x:v>
      </x:c>
      <x:c r="G24" s="64" t="str">
        <x:v>https://www.gov.uk/government/organisations/department-for-science-innovation-and-technology.atom</x:v>
      </x:c>
      <x:c r="H24" s="64" t="str">
        <x:v>https://www.gov.uk/government/organisations/department-for-science-innovation-and-technology</x:v>
      </x:c>
      <x:c r="I24" s="65" t="n">
        <x:v>5</x:v>
      </x:c>
      <x:c r="J24" s="64" t="str">
        <x:v>Yes</x:v>
      </x:c>
      <x:c r="K24" s="64" t="str">
        <x:v>Official UK government Atom feed.</x:v>
      </x:c>
      <x:c r="L24" s="96" t="str">
        <x:v>S</x:v>
      </x:c>
      <x:c r="M24" s="96" t="str">
        <x:v>Daily</x:v>
      </x:c>
      <x:c r="N24" s="97" t="str"/>
    </x:row>
    <x:row r="25" ht="42" customHeight="1">
      <x:c r="A25" s="64" t="str">
        <x:v>Yes</x:v>
      </x:c>
      <x:c r="B25" s="64" t="str">
        <x:v>Asia</x:v>
      </x:c>
      <x:c r="C25" s="64" t="str">
        <x:v>Japan</x:v>
      </x:c>
      <x:c r="D25" s="64" t="str">
        <x:v>Industrial and innovation policy</x:v>
      </x:c>
      <x:c r="E25" s="64" t="str">
        <x:v>METI Press Releases</x:v>
      </x:c>
      <x:c r="F25" s="64" t="str">
        <x:v>Ministry of Economy, Trade and Industry</x:v>
      </x:c>
      <x:c r="G25" s="64" t="str">
        <x:v>https://www.meti.go.jp/english/press/index.rdf</x:v>
      </x:c>
      <x:c r="H25" s="64" t="str">
        <x:v>https://www.meti.go.jp/english/press/index.html</x:v>
      </x:c>
      <x:c r="I25" s="65" t="n">
        <x:v>5</x:v>
      </x:c>
      <x:c r="J25" s="64" t="str">
        <x:v>Yes</x:v>
      </x:c>
      <x:c r="K25" s="64" t="str">
        <x:v>Official Japanese government English-language feed.</x:v>
      </x:c>
      <x:c r="L25" s="96" t="str">
        <x:v>S</x:v>
      </x:c>
      <x:c r="M25" s="96" t="str">
        <x:v>Daily</x:v>
      </x:c>
      <x:c r="N25" s="97" t="str"/>
    </x:row>
    <x:row r="26" ht="42" customHeight="1">
      <x:c r="A26" s="64" t="str">
        <x:v>Yes</x:v>
      </x:c>
      <x:c r="B26" s="64" t="str">
        <x:v>Global</x:v>
      </x:c>
      <x:c r="C26" s="64" t="str">
        <x:v>Global</x:v>
      </x:c>
      <x:c r="D26" s="64" t="str">
        <x:v>Healthcare policy</x:v>
      </x:c>
      <x:c r="E26" s="64" t="str">
        <x:v>WHO News</x:v>
      </x:c>
      <x:c r="F26" s="64" t="str">
        <x:v>World Health Organization</x:v>
      </x:c>
      <x:c r="G26" s="64" t="str">
        <x:v>https://www.who.int/rss-feeds/news-english.xml</x:v>
      </x:c>
      <x:c r="H26" s="64" t="str">
        <x:v>https://www.who.int/news</x:v>
      </x:c>
      <x:c r="I26" s="65" t="n">
        <x:v>4</x:v>
      </x:c>
      <x:c r="J26" s="64" t="str">
        <x:v>Yes</x:v>
      </x:c>
      <x:c r="K26" s="64" t="str">
        <x:v>Official international public-health source.</x:v>
      </x:c>
      <x:c r="L26" s="96" t="str">
        <x:v>A</x:v>
      </x:c>
      <x:c r="M26" s="96" t="str">
        <x:v>Daily</x:v>
      </x:c>
      <x:c r="N26" s="97" t="str">
        <x:v>Healthcare</x:v>
      </x:c>
    </x:row>
    <x:row r="27" ht="42" customHeight="1">
      <x:c r="A27" s="64" t="str">
        <x:v>Yes</x:v>
      </x:c>
      <x:c r="B27" s="64" t="str">
        <x:v>Global</x:v>
      </x:c>
      <x:c r="C27" s="64" t="str">
        <x:v>Global</x:v>
      </x:c>
      <x:c r="D27" s="64" t="str">
        <x:v>Energy technology and policy</x:v>
      </x:c>
      <x:c r="E27" s="64" t="str">
        <x:v>IEA News</x:v>
      </x:c>
      <x:c r="F27" s="64" t="str">
        <x:v>International Energy Agency</x:v>
      </x:c>
      <x:c r="G27" s="64" t="str">
        <x:v>https://www.iea.org/rss/news.xml</x:v>
      </x:c>
      <x:c r="H27" s="64" t="str">
        <x:v>https://www.iea.org/news</x:v>
      </x:c>
      <x:c r="I27" s="65" t="n">
        <x:v>4</x:v>
      </x:c>
      <x:c r="J27" s="64" t="str">
        <x:v>Yes</x:v>
      </x:c>
      <x:c r="K27" s="64" t="str">
        <x:v>Official international energy-policy source.</x:v>
      </x:c>
      <x:c r="L27" s="96" t="str">
        <x:v>A</x:v>
      </x:c>
      <x:c r="M27" s="96" t="str">
        <x:v>Daily</x:v>
      </x:c>
      <x:c r="N27" s="97" t="str"/>
    </x:row>
    <x:row r="28" ht="42" customHeight="1">
      <x:c r="A28" s="64" t="str">
        <x:v>Yes</x:v>
      </x:c>
      <x:c r="B28" s="64" t="str">
        <x:v>Global</x:v>
      </x:c>
      <x:c r="C28" s="64" t="str">
        <x:v>Global</x:v>
      </x:c>
      <x:c r="D28" s="64" t="str">
        <x:v>Economic, science and innovation policy</x:v>
      </x:c>
      <x:c r="E28" s="64" t="str">
        <x:v>OECD Newsroom</x:v>
      </x:c>
      <x:c r="F28" s="64" t="str">
        <x:v>OECD</x:v>
      </x:c>
      <x:c r="G28" s="64" t="str">
        <x:v>https://www.oecd.org/newsroom/rss.xml</x:v>
      </x:c>
      <x:c r="H28" s="64" t="str">
        <x:v>https://www.oecd.org/newsroom/</x:v>
      </x:c>
      <x:c r="I28" s="65" t="n">
        <x:v>4</x:v>
      </x:c>
      <x:c r="J28" s="64" t="str">
        <x:v>Yes</x:v>
      </x:c>
      <x:c r="K28" s="64" t="str">
        <x:v>Official OECD source.</x:v>
      </x:c>
      <x:c r="L28" s="96" t="str">
        <x:v>A</x:v>
      </x:c>
      <x:c r="M28" s="96" t="str">
        <x:v>Daily</x:v>
      </x:c>
      <x:c r="N28" s="97" t="str"/>
    </x:row>
    <x:row r="29" ht="42" customHeight="1">
      <x:c r="A29" s="64" t="str">
        <x:v>Yes</x:v>
      </x:c>
      <x:c r="B29" s="64" t="str">
        <x:v>Global</x:v>
      </x:c>
      <x:c r="C29" s="64" t="str">
        <x:v>United States</x:v>
      </x:c>
      <x:c r="D29" s="64" t="str">
        <x:v>Artificial intelligence</x:v>
      </x:c>
      <x:c r="E29" s="64" t="str">
        <x:v>OpenAI News</x:v>
      </x:c>
      <x:c r="F29" s="64" t="str">
        <x:v>OpenAI</x:v>
      </x:c>
      <x:c r="G29" s="64" t="str">
        <x:v>https://openai.com/news/rss.xml</x:v>
      </x:c>
      <x:c r="H29" s="64" t="str">
        <x:v>https://openai.com/news/</x:v>
      </x:c>
      <x:c r="I29" s="65" t="n">
        <x:v>5</x:v>
      </x:c>
      <x:c r="J29" s="64" t="str">
        <x:v>Yes</x:v>
      </x:c>
      <x:c r="K29" s="64" t="str">
        <x:v>Official company newsroom.</x:v>
      </x:c>
      <x:c r="L29" s="96" t="str">
        <x:v>S</x:v>
      </x:c>
      <x:c r="M29" s="96" t="str">
        <x:v>Daily</x:v>
      </x:c>
      <x:c r="N29" s="97" t="str">
        <x:v>Artificial Intelligence</x:v>
      </x:c>
    </x:row>
    <x:row r="30" ht="42" customHeight="1">
      <x:c r="A30" s="64" t="str">
        <x:v>Yes</x:v>
      </x:c>
      <x:c r="B30" s="64" t="str">
        <x:v>Global</x:v>
      </x:c>
      <x:c r="C30" s="64" t="str">
        <x:v>United States</x:v>
      </x:c>
      <x:c r="D30" s="64" t="str">
        <x:v>Artificial intelligence</x:v>
      </x:c>
      <x:c r="E30" s="64" t="str">
        <x:v>Google AI</x:v>
      </x:c>
      <x:c r="F30" s="64" t="str">
        <x:v>Google</x:v>
      </x:c>
      <x:c r="G30" s="64" t="str">
        <x:v>https://blog.google/technology/ai/rss/</x:v>
      </x:c>
      <x:c r="H30" s="64" t="str">
        <x:v>https://blog.google/technology/ai/</x:v>
      </x:c>
      <x:c r="I30" s="65" t="n">
        <x:v>4</x:v>
      </x:c>
      <x:c r="J30" s="64" t="str">
        <x:v>Yes</x:v>
      </x:c>
      <x:c r="K30" s="64" t="str">
        <x:v>Official company publication.</x:v>
      </x:c>
      <x:c r="L30" s="96" t="str">
        <x:v>A</x:v>
      </x:c>
      <x:c r="M30" s="96" t="str">
        <x:v>Daily</x:v>
      </x:c>
      <x:c r="N30" s="97" t="str">
        <x:v>Artificial Intelligence</x:v>
      </x:c>
    </x:row>
    <x:row r="31" ht="42" customHeight="1">
      <x:c r="A31" s="64" t="str">
        <x:v>Yes</x:v>
      </x:c>
      <x:c r="B31" s="64" t="str">
        <x:v>Global</x:v>
      </x:c>
      <x:c r="C31" s="64" t="str">
        <x:v>United States</x:v>
      </x:c>
      <x:c r="D31" s="64" t="str">
        <x:v>AI and semiconductors</x:v>
      </x:c>
      <x:c r="E31" s="64" t="str">
        <x:v>NVIDIA Blog</x:v>
      </x:c>
      <x:c r="F31" s="64" t="str">
        <x:v>NVIDIA</x:v>
      </x:c>
      <x:c r="G31" s="64" t="str">
        <x:v>https://blogs.nvidia.com/feed/</x:v>
      </x:c>
      <x:c r="H31" s="64" t="str">
        <x:v>https://blogs.nvidia.com/</x:v>
      </x:c>
      <x:c r="I31" s="65" t="n">
        <x:v>4</x:v>
      </x:c>
      <x:c r="J31" s="64" t="str">
        <x:v>Yes</x:v>
      </x:c>
      <x:c r="K31" s="64" t="str">
        <x:v>Official company publication.</x:v>
      </x:c>
      <x:c r="L31" s="96" t="str">
        <x:v>A</x:v>
      </x:c>
      <x:c r="M31" s="96" t="str">
        <x:v>Daily</x:v>
      </x:c>
      <x:c r="N31" s="97" t="str">
        <x:v>Artificial Intelligence | Semiconductors &amp; Telecom</x:v>
      </x:c>
    </x:row>
    <x:row r="32" ht="42" customHeight="1">
      <x:c r="A32" s="64" t="str">
        <x:v>Yes</x:v>
      </x:c>
      <x:c r="B32" s="64" t="str">
        <x:v>Global</x:v>
      </x:c>
      <x:c r="C32" s="64" t="str">
        <x:v>United States</x:v>
      </x:c>
      <x:c r="D32" s="64" t="str">
        <x:v>Semiconductors</x:v>
      </x:c>
      <x:c r="E32" s="64" t="str">
        <x:v>Intel Newsroom</x:v>
      </x:c>
      <x:c r="F32" s="64" t="str">
        <x:v>Intel</x:v>
      </x:c>
      <x:c r="G32" s="64" t="str">
        <x:v>https://newsroom.intel.com/feed</x:v>
      </x:c>
      <x:c r="H32" s="64" t="str">
        <x:v>https://newsroom.intel.com/</x:v>
      </x:c>
      <x:c r="I32" s="65" t="n">
        <x:v>4</x:v>
      </x:c>
      <x:c r="J32" s="64" t="str">
        <x:v>Yes</x:v>
      </x:c>
      <x:c r="K32" s="64" t="str">
        <x:v>Official company newsroom.</x:v>
      </x:c>
      <x:c r="L32" s="96" t="str">
        <x:v>A</x:v>
      </x:c>
      <x:c r="M32" s="96" t="str">
        <x:v>Daily</x:v>
      </x:c>
      <x:c r="N32" s="97" t="str">
        <x:v>Semiconductors &amp; Telecom</x:v>
      </x:c>
    </x:row>
    <x:row r="33" ht="42" customHeight="1">
      <x:c r="A33" s="64" t="str">
        <x:v>Yes</x:v>
      </x:c>
      <x:c r="B33" s="64" t="str">
        <x:v>Global</x:v>
      </x:c>
      <x:c r="C33" s="64" t="str">
        <x:v>United States</x:v>
      </x:c>
      <x:c r="D33" s="64" t="str">
        <x:v>AI and quantum</x:v>
      </x:c>
      <x:c r="E33" s="64" t="str">
        <x:v>IBM Research</x:v>
      </x:c>
      <x:c r="F33" s="64" t="str">
        <x:v>IBM</x:v>
      </x:c>
      <x:c r="G33" s="64" t="str">
        <x:v>https://research.ibm.com/blog/rss.xml</x:v>
      </x:c>
      <x:c r="H33" s="64" t="str">
        <x:v>https://research.ibm.com/blog</x:v>
      </x:c>
      <x:c r="I33" s="65" t="n">
        <x:v>4</x:v>
      </x:c>
      <x:c r="J33" s="64" t="str">
        <x:v>Yes</x:v>
      </x:c>
      <x:c r="K33" s="64" t="str">
        <x:v>Official corporate research publication.</x:v>
      </x:c>
      <x:c r="L33" s="96" t="str">
        <x:v>A</x:v>
      </x:c>
      <x:c r="M33" s="96" t="str">
        <x:v>Daily</x:v>
      </x:c>
      <x:c r="N33" s="97" t="str">
        <x:v>Artificial Intelligence | Quantum</x:v>
      </x:c>
    </x:row>
    <x:row r="34" ht="42" customHeight="1">
      <x:c r="A34" s="64" t="str">
        <x:v>Yes</x:v>
      </x:c>
      <x:c r="B34" s="64" t="str">
        <x:v>Global</x:v>
      </x:c>
      <x:c r="C34" s="64" t="str">
        <x:v>United States</x:v>
      </x:c>
      <x:c r="D34" s="64" t="str">
        <x:v>AI, quantum and computing</x:v>
      </x:c>
      <x:c r="E34" s="64" t="str">
        <x:v>Microsoft Research</x:v>
      </x:c>
      <x:c r="F34" s="64" t="str">
        <x:v>Microsoft</x:v>
      </x:c>
      <x:c r="G34" s="64" t="str">
        <x:v>https://www.microsoft.com/en-us/research/feed/</x:v>
      </x:c>
      <x:c r="H34" s="64" t="str">
        <x:v>https://www.microsoft.com/en-us/research/blog/</x:v>
      </x:c>
      <x:c r="I34" s="65" t="n">
        <x:v>4</x:v>
      </x:c>
      <x:c r="J34" s="64" t="str">
        <x:v>Yes</x:v>
      </x:c>
      <x:c r="K34" s="64" t="str">
        <x:v>Official corporate research publication.</x:v>
      </x:c>
      <x:c r="L34" s="96" t="str">
        <x:v>A</x:v>
      </x:c>
      <x:c r="M34" s="96" t="str">
        <x:v>Daily</x:v>
      </x:c>
      <x:c r="N34" s="97" t="str">
        <x:v>Artificial Intelligence | Quantum</x:v>
      </x:c>
    </x:row>
    <x:row r="35" ht="42" customHeight="1">
      <x:c r="A35" s="64" t="str">
        <x:v>Yes</x:v>
      </x:c>
      <x:c r="B35" s="64" t="str">
        <x:v>Asia</x:v>
      </x:c>
      <x:c r="C35" s="64" t="str">
        <x:v>South Korea</x:v>
      </x:c>
      <x:c r="D35" s="64" t="str">
        <x:v>Semiconductors, AI and telecom</x:v>
      </x:c>
      <x:c r="E35" s="64" t="str">
        <x:v>Samsung Global Newsroom</x:v>
      </x:c>
      <x:c r="F35" s="64" t="str">
        <x:v>Samsung Electronics</x:v>
      </x:c>
      <x:c r="G35" s="64" t="str">
        <x:v>https://news.samsung.com/global/feed</x:v>
      </x:c>
      <x:c r="H35" s="64" t="str">
        <x:v>https://news.samsung.com/global/</x:v>
      </x:c>
      <x:c r="I35" s="65" t="n">
        <x:v>4</x:v>
      </x:c>
      <x:c r="J35" s="64" t="str">
        <x:v>Yes</x:v>
      </x:c>
      <x:c r="K35" s="64" t="str">
        <x:v>Official company newsroom.</x:v>
      </x:c>
      <x:c r="L35" s="96" t="str">
        <x:v>A</x:v>
      </x:c>
      <x:c r="M35" s="96" t="str">
        <x:v>Daily</x:v>
      </x:c>
      <x:c r="N35" s="97" t="str">
        <x:v>Artificial Intelligence | Semiconductors &amp; Telecom</x:v>
      </x:c>
    </x:row>
    <x:row r="36" ht="42" customHeight="1">
      <x:c r="A36" s="64" t="str">
        <x:v>Yes</x:v>
      </x:c>
      <x:c r="B36" s="64" t="str">
        <x:v>EU &amp; Europe</x:v>
      </x:c>
      <x:c r="C36" s="64" t="str">
        <x:v>International / France</x:v>
      </x:c>
      <x:c r="D36" s="64" t="str">
        <x:v>Fusion energy</x:v>
      </x:c>
      <x:c r="E36" s="64" t="str">
        <x:v>ITER News</x:v>
      </x:c>
      <x:c r="F36" s="64" t="str">
        <x:v>ITER Organization</x:v>
      </x:c>
      <x:c r="G36" s="64" t="str">
        <x:v>https://www.iter.org/news</x:v>
      </x:c>
      <x:c r="H36" s="64" t="str">
        <x:v>https://www.iter.org/news</x:v>
      </x:c>
      <x:c r="I36" s="65" t="n">
        <x:v>5</x:v>
      </x:c>
      <x:c r="J36" s="64" t="str">
        <x:v>No</x:v>
      </x:c>
      <x:c r="K36" s="64" t="str">
        <x:v>Official international fusion project; official listing-page fallback.</x:v>
      </x:c>
      <x:c r="L36" s="96" t="str">
        <x:v>S</x:v>
      </x:c>
      <x:c r="M36" s="96" t="str">
        <x:v>Daily</x:v>
      </x:c>
      <x:c r="N36" s="97" t="str">
        <x:v>Fusion Energy</x:v>
      </x:c>
    </x:row>
    <x:row r="37" ht="42" customHeight="1">
      <x:c r="A37" s="64" t="str">
        <x:v>Yes</x:v>
      </x:c>
      <x:c r="B37" s="64" t="str">
        <x:v>Global</x:v>
      </x:c>
      <x:c r="C37" s="64" t="str">
        <x:v>Global</x:v>
      </x:c>
      <x:c r="D37" s="64" t="str">
        <x:v>Fusion energy</x:v>
      </x:c>
      <x:c r="E37" s="64" t="str">
        <x:v>Fusion Industry Association</x:v>
      </x:c>
      <x:c r="F37" s="64" t="str">
        <x:v>Fusion Industry Association</x:v>
      </x:c>
      <x:c r="G37" s="64" t="str">
        <x:v>https://www.fusionindustryassociation.org/feed/</x:v>
      </x:c>
      <x:c r="H37" s="64" t="str">
        <x:v>https://www.fusionindustryassociation.org/</x:v>
      </x:c>
      <x:c r="I37" s="65" t="n">
        <x:v>3</x:v>
      </x:c>
      <x:c r="J37" s="64" t="str">
        <x:v>Yes</x:v>
      </x:c>
      <x:c r="K37" s="64" t="str">
        <x:v>Established industry association; company claims are clearly labeled by source.</x:v>
      </x:c>
      <x:c r="L37" s="96" t="str">
        <x:v>B</x:v>
      </x:c>
      <x:c r="M37" s="96" t="str">
        <x:v>Weekly</x:v>
      </x:c>
      <x:c r="N37" s="97" t="str">
        <x:v>Fusion Energy</x:v>
      </x:c>
    </x:row>
  </x:sheetData>
  <x:mergeCells>
    <x:mergeCell ref="A1:N1"/>
    <x:mergeCell ref="A2:N2"/>
  </x:mergeCells>
  <x:dataValidations count="1">
    <x:dataValidation type="list" sqref="A4:A3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a3cfa159444d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4" hidden="0" customWidth="1"/>
    <x:col min="5" max="5" width="20" hidden="0" customWidth="1"/>
    <x:col min="6" max="6" width="14" hidden="0" customWidth="1"/>
    <x:col min="7" max="7" width="16" hidden="0" customWidth="1"/>
    <x:col min="8" max="8" width="34" hidden="0" customWidth="1"/>
  </x:cols>
  <x:sheetData>
    <x:row r="1" ht="34" customHeight="1">
      <x:c r="A1" s="4" t="str">
        <x:v>Run Log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3" t="str">
        <x:v>Daily collection results; one failed feed never stops the remaining sources</x:v>
      </x:c>
      <x:c r="B2" s="14"/>
      <x:c r="C2" s="14"/>
      <x:c r="D2" s="14"/>
      <x:c r="E2" s="14"/>
      <x:c r="F2" s="14"/>
      <x:c r="G2" s="14"/>
      <x:c r="H2" s="15"/>
    </x:row>
    <x:row r="3" ht="31" customHeight="1">
      <x:c r="A3" s="57" t="str">
        <x:v>Run Time (JST)</x:v>
      </x:c>
      <x:c r="B3" s="58" t="str">
        <x:v>Feeds Checked</x:v>
      </x:c>
      <x:c r="C3" s="58" t="str">
        <x:v>Feeds Succeeded</x:v>
      </x:c>
      <x:c r="D3" s="58" t="str">
        <x:v>New Items</x:v>
      </x:c>
      <x:c r="E3" s="58" t="str">
        <x:v>Duplicates Skipped</x:v>
      </x:c>
      <x:c r="F3" s="58" t="str">
        <x:v>Feed Errors</x:v>
      </x:c>
      <x:c r="G3" s="58" t="str">
        <x:v>Duration (sec)</x:v>
      </x:c>
      <x:c r="H3" s="59" t="str">
        <x:v>Note</x:v>
      </x:c>
    </x:row>
    <x:row r="4" ht="42" customHeight="1">
      <x:c r="A4" s="62"/>
      <x:c r="B4" s="66"/>
      <x:c r="C4" s="66"/>
      <x:c r="D4" s="66"/>
      <x:c r="E4" s="66"/>
      <x:c r="F4" s="66"/>
      <x:c r="G4" s="66"/>
      <x:c r="H4" s="6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d098bede6154a30"/>
  </x:tableParts>
</x:worksheet>
</file>