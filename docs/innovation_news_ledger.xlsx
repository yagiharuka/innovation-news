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Ledger'!$A$3:$O$91</definedName>
    <definedName name="_xlnm._FilterDatabase" localSheetId="2" hidden="1">'Source Registry'!$A$3:$K$50</definedName>
    <definedName name="_xlnm._FilterDatabase" localSheetId="3" hidden="1">'Run Log'!$A$3:$H$18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0">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s>
  <fills count="8">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s>
  <borders count="11">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right style="thin">
        <color rgb="FFD7E0E5"/>
      </right>
      <top style="thin">
        <color rgb="FFD7E0E5"/>
      </top>
    </border>
  </borders>
  <cellStyleXfs count="1">
    <xf numFmtId="0" fontId="0" fillId="0" borderId="0"/>
  </cellStyleXfs>
  <cellXfs count="7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9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K50" headerRowCount="1" totalsRowCount="0" totalsRowShown="0">
  <autoFilter ref="A3:K37"/>
  <tableColumns count="11">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openai.com/index/empowering-defenders-through-our-cybersecurity-grant-program" TargetMode="External" Id="rId1" /><Relationship Type="http://schemas.openxmlformats.org/officeDocument/2006/relationships/hyperlink" Target="https://www.epo.org/en/news-events/news/epo-continue-key-role-pct-authority-until-2037" TargetMode="External" Id="rId2" /><Relationship Type="http://schemas.openxmlformats.org/officeDocument/2006/relationships/hyperlink" Target="https://doi.org/10.3389/froh.2026.1878692" TargetMode="External" Id="rId3" /><Relationship Type="http://schemas.openxmlformats.org/officeDocument/2006/relationships/hyperlink" Target="https://www.epo.org/en/news-events/news/patent-granting-process-fully-digital-1-april-2027" TargetMode="External" Id="rId4" /><Relationship Type="http://schemas.openxmlformats.org/officeDocument/2006/relationships/hyperlink" Target="https://doi.org/10.1088/1741-4326/ae8f55" TargetMode="External" Id="rId5" /><Relationship Type="http://schemas.openxmlformats.org/officeDocument/2006/relationships/hyperlink" Target="https://doi.org/10.64823/ijpcs.2601002" TargetMode="External" Id="rId6" /><Relationship Type="http://schemas.openxmlformats.org/officeDocument/2006/relationships/hyperlink" Target="https://doi.org/10.5281/zenodo.21512028" TargetMode="External" Id="rId7" /><Relationship Type="http://schemas.openxmlformats.org/officeDocument/2006/relationships/hyperlink" Target="https://doi.org/10.21203/rs.3.rs-10191620/v1" TargetMode="External" Id="rId8" /><Relationship Type="http://schemas.openxmlformats.org/officeDocument/2006/relationships/hyperlink" Target="https://www.nsf.gov/news/new-nsf-initiative-aims-unlock-dataset-value-ai-enabled" TargetMode="External" Id="rId9" /><Relationship Type="http://schemas.openxmlformats.org/officeDocument/2006/relationships/hyperlink" Target="https://www.nsf.gov/news/nsf-announces-83m-investment-integrated-data-systems" TargetMode="External" Id="rId10" /><Relationship Type="http://schemas.openxmlformats.org/officeDocument/2006/relationships/hyperlink" Target="https://www.nist.gov/news-events/news/2026/07/nist-announces-funding-opportunity-14-mep-centers-advance-small-and-medium" TargetMode="External" Id="rId11" /><Relationship Type="http://schemas.openxmlformats.org/officeDocument/2006/relationships/hyperlink" Target="https://www.nistep.go.jp/archives/63583/" TargetMode="External" Id="rId12" /><Relationship Type="http://schemas.openxmlformats.org/officeDocument/2006/relationships/hyperlink" Target="https://www.nature.com/articles/s41586-026-10832-w" TargetMode="External" Id="rId13" /><Relationship Type="http://schemas.openxmlformats.org/officeDocument/2006/relationships/hyperlink" Target="https://www.nature.com/articles/s41586-026-10823-x" TargetMode="External" Id="rId14" /><Relationship Type="http://schemas.openxmlformats.org/officeDocument/2006/relationships/hyperlink" Target="https://www.nature.com/articles/s41586-026-10828-6" TargetMode="External" Id="rId15" /><Relationship Type="http://schemas.openxmlformats.org/officeDocument/2006/relationships/hyperlink" Target="https://www.nature.com/articles/d41586-026-02072-9" TargetMode="External" Id="rId16" /><Relationship Type="http://schemas.openxmlformats.org/officeDocument/2006/relationships/hyperlink" Target="https://www.nature.com/articles/d41586-026-02230-z" TargetMode="External" Id="rId17" /><Relationship Type="http://schemas.openxmlformats.org/officeDocument/2006/relationships/hyperlink" Target="https://www.nature.com/articles/d41586-026-02042-1" TargetMode="External" Id="rId18" /><Relationship Type="http://schemas.openxmlformats.org/officeDocument/2006/relationships/hyperlink" Target="https://www.nature.com/articles/d41586-026-02155-7" TargetMode="External" Id="rId19" /><Relationship Type="http://schemas.openxmlformats.org/officeDocument/2006/relationships/hyperlink" Target="https://www.nature.com/articles/d41586-026-02233-w" TargetMode="External" Id="rId20" /><Relationship Type="http://schemas.openxmlformats.org/officeDocument/2006/relationships/hyperlink" Target="https://www.nature.com/articles/d41586-026-02302-0" TargetMode="External" Id="rId21" /><Relationship Type="http://schemas.openxmlformats.org/officeDocument/2006/relationships/hyperlink" Target="https://blogs.nvidia.com/blog/wistron-manufacturing-texas/" TargetMode="External" Id="rId22" /><Relationship Type="http://schemas.openxmlformats.org/officeDocument/2006/relationships/hyperlink" Target="https://www.fusionindustryassociation.org/fia-outlines-eu-financing-pathway-for-fusion/?utm_source=rss&amp;utm_medium=rss&amp;utm_campaign=fia-outlines-eu-financing-pathway-for-fusion" TargetMode="External" Id="rId23" /><Relationship Type="http://schemas.openxmlformats.org/officeDocument/2006/relationships/hyperlink" Target="https://doi.org/10.3390/engproc2026150039" TargetMode="External" Id="rId24" /><Relationship Type="http://schemas.openxmlformats.org/officeDocument/2006/relationships/hyperlink" Target="https://blogs.nvidia.com/blog/siggraph-news-2026/" TargetMode="External" Id="rId25" /><Relationship Type="http://schemas.openxmlformats.org/officeDocument/2006/relationships/hyperlink" Target="https://www.scmp.com/tech/big-tech/article/3361242/no-longer-token-economy-sensetime-bets-task-economy-token-prices-set-drop?utm_source=rss_feed" TargetMode="External" Id="rId26" /><Relationship Type="http://schemas.openxmlformats.org/officeDocument/2006/relationships/hyperlink" Target="https://blogs.nvidia.com/blog/bristol-myers-squibb-building-life-science-industrys-most-advanced-ai-factory-on-nvidia-vera-rubin/" TargetMode="External" Id="rId2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8" /><Relationship Type="http://schemas.openxmlformats.org/officeDocument/2006/relationships/hyperlink" Target="https://www.gov.uk/government/publications/ai-research-resource" TargetMode="External" Id="rId29" /><Relationship Type="http://schemas.openxmlformats.org/officeDocument/2006/relationships/hyperlink" Target="https://epo.org/en/about-us/observatory-patents-and-technology/policy-and-funding/patents-and-standards" TargetMode="External" Id="rId30" /><Relationship Type="http://schemas.openxmlformats.org/officeDocument/2006/relationships/hyperlink" Target="https://www.gov.uk/government/publications/improving-access-to-and-use-of-digital-services-open-letter-to-business-leaders" TargetMode="External" Id="rId31" /><Relationship Type="http://schemas.openxmlformats.org/officeDocument/2006/relationships/hyperlink" Target="https://www.gov.uk/government/publications/expression-of-interest-airr-heterogeneous-supercomputer-host-site-selection" TargetMode="External" Id="rId32" /><Relationship Type="http://schemas.openxmlformats.org/officeDocument/2006/relationships/hyperlink" Target="https://www.gov.uk/government/publications/fact-sheet-new-rules-to-protect-children-online" TargetMode="External" Id="rId33" /><Relationship Type="http://schemas.openxmlformats.org/officeDocument/2006/relationships/hyperlink" Target="https://www.energy.gov/science/articles/silencing-noise-doe-unveils-breakthrough-domestic-silicon-and-germanium-isotope" TargetMode="External" Id="rId34" /><Relationship Type="http://schemas.openxmlformats.org/officeDocument/2006/relationships/hyperlink" Target="https://blogs.nvidia.com/blog/jetson-thor-robotics-edge-ai-agent/" TargetMode="External" Id="rId35" /><Relationship Type="http://schemas.openxmlformats.org/officeDocument/2006/relationships/hyperlink" Target="https://openai.com/index/ai-clinical-copilot-penda-health" TargetMode="External" Id="rId36" /><Relationship Type="http://schemas.openxmlformats.org/officeDocument/2006/relationships/hyperlink" Target="https://www.nsf.gov/news/nsf-awards-12-new-regional-innovation-engines-fuel-research" TargetMode="External" Id="rId37" /><Relationship Type="http://schemas.openxmlformats.org/officeDocument/2006/relationships/hyperlink" Target="https://doi.org/10.1088/1741-4326/ae773b" TargetMode="External" Id="rId38" /><Relationship Type="http://schemas.openxmlformats.org/officeDocument/2006/relationships/hyperlink" Target="https://news.samsung.com/global/samsung-begins-mass-production-of-pm1763-ssd-optimized-for-next-generation-ai-infrastructure" TargetMode="External" Id="rId39" /><Relationship Type="http://schemas.openxmlformats.org/officeDocument/2006/relationships/hyperlink" Target="https://www.nsf.gov/news/nsf-launches-project-triad-advance-quantum-technology-real" TargetMode="External" Id="rId40" /><Relationship Type="http://schemas.openxmlformats.org/officeDocument/2006/relationships/hyperlink" Target="https://openalex.org/W7167154222" TargetMode="External" Id="rId41" /><Relationship Type="http://schemas.openxmlformats.org/officeDocument/2006/relationships/hyperlink" Target="https://www.microsoft.com/en-us/research/blog/memora-a-harmonic-memory-representation-balancing-abstraction-and-specificity/" TargetMode="External" Id="rId42" /><Relationship Type="http://schemas.openxmlformats.org/officeDocument/2006/relationships/hyperlink" Target="https://openalex.org/W7166900160" TargetMode="External" Id="rId43" /><Relationship Type="http://schemas.openxmlformats.org/officeDocument/2006/relationships/hyperlink" Target="https://openalex.org/W7166900467" TargetMode="External" Id="rId44" /><Relationship Type="http://schemas.openxmlformats.org/officeDocument/2006/relationships/hyperlink" Target="https://www.nistep.go.jp/archives/63398/" TargetMode="External" Id="rId45" /><Relationship Type="http://schemas.openxmlformats.org/officeDocument/2006/relationships/hyperlink" Target="https://www.nistep.go.jp/archives/63333/" TargetMode="External" Id="rId46" /><Relationship Type="http://schemas.openxmlformats.org/officeDocument/2006/relationships/hyperlink" Target="https://www.energy.gov/science/articles/doe-strengthens-domestic-supply-chain-american-energy-and-manufacturing" TargetMode="External" Id="rId47" /><Relationship Type="http://schemas.openxmlformats.org/officeDocument/2006/relationships/hyperlink" Target="https://www.nistep.go.jp/archives/63155/" TargetMode="External" Id="rId48" /><Relationship Type="http://schemas.openxmlformats.org/officeDocument/2006/relationships/hyperlink" Target="https://gov.uk/government/news/the-new-robot-helping-clean-up-sellafield" TargetMode="External" Id="rId49" /><Relationship Type="http://schemas.openxmlformats.org/officeDocument/2006/relationships/hyperlink" Target="https://www.energy.gov/science/articles/energy-department-announces-initiative-create-and-deploy-worlds-first" TargetMode="External" Id="rId50" /><Relationship Type="http://schemas.openxmlformats.org/officeDocument/2006/relationships/hyperlink" Target="https://nih.gov/common-fund/common-fund-programs/replication-enhance-research-impact-initiative" TargetMode="External" Id="rId51" /><Relationship Type="http://schemas.openxmlformats.org/officeDocument/2006/relationships/hyperlink" Target="https://www.iter.org/node/20687/around-world-one-assembly-line" TargetMode="External" Id="rId52" /><Relationship Type="http://schemas.openxmlformats.org/officeDocument/2006/relationships/hyperlink" Target="https://www.iter.org/node/20687/galloping-ahead-year-horse" TargetMode="External" Id="rId53" /><Relationship Type="http://schemas.openxmlformats.org/officeDocument/2006/relationships/hyperlink" Target="https://www.iter.org/node/20687/iter-signs-agreement-russias-kurchatov-institute" TargetMode="External" Id="rId54" /><Relationship Type="http://schemas.openxmlformats.org/officeDocument/2006/relationships/hyperlink" Target="https://openai.com/approach-to-patents" TargetMode="External" Id="rId55" /><Relationship Type="http://schemas.openxmlformats.org/officeDocument/2006/relationships/hyperlink" Target="https://www.energy.gov/articles/energy-department-releases-finalized-fusion-science-and-technology-roadmap-accelerate" TargetMode="External" Id="rId56" /><Relationship Type="http://schemas.openxmlformats.org/officeDocument/2006/relationships/hyperlink" Target="https://www.nist.gov/news-events/news/2026/06/nist-mathematical-proof-supports-transition-continuous-monitor-and-update" TargetMode="External" Id="rId57" /><Relationship Type="http://schemas.openxmlformats.org/officeDocument/2006/relationships/hyperlink" Target="https://doi.org/10.1609/icaps.v36i1.42871" TargetMode="External" Id="rId58" /><Relationship Type="http://schemas.openxmlformats.org/officeDocument/2006/relationships/hyperlink" Target="https://www.who.int/news/item/05-06-2026-africa-cdc-and-who-launch-joint-continental-ebola-response-plan" TargetMode="External" Id="rId59" /><Relationship Type="http://schemas.openxmlformats.org/officeDocument/2006/relationships/hyperlink" Target="https://www.nist.gov/news-events/news/2026/06/new-ai-model-shows-how-evacuate-fires-one-safe-step-time" TargetMode="External" Id="rId60" /><Relationship Type="http://schemas.openxmlformats.org/officeDocument/2006/relationships/hyperlink" Target="https://www.nist.gov/news-events/news/2026/06/nist-researchers-discover-new-way-whisk-alloys-together-lasers" TargetMode="External" Id="rId61" /><Relationship Type="http://schemas.openxmlformats.org/officeDocument/2006/relationships/hyperlink" Target="https://newsroom.intel.com/pt/data-cente/intel-apresenta-controladores-e-adaptadores-de-rede-ethernet-e835-para-infraestruturas-corporativas-de-borda-e-telecomunicacoes" TargetMode="External" Id="rId62" /><Relationship Type="http://schemas.openxmlformats.org/officeDocument/2006/relationships/hyperlink" Target="https://doi.org/10.1017/s0022377826101706" TargetMode="External" Id="rId63" /><Relationship Type="http://schemas.openxmlformats.org/officeDocument/2006/relationships/hyperlink" Target="https://doi.org/10.1063/5.0307710" TargetMode="External" Id="rId64" /><Relationship Type="http://schemas.openxmlformats.org/officeDocument/2006/relationships/hyperlink" Target="https://doi.org/10.70267/shbe.20262633" TargetMode="External" Id="rId65" /><Relationship Type="http://schemas.openxmlformats.org/officeDocument/2006/relationships/hyperlink" Target="https://doi.org/10.1007/s11704-026-60308-3" TargetMode="External" Id="rId66" /><Relationship Type="http://schemas.openxmlformats.org/officeDocument/2006/relationships/hyperlink" Target="https://doi.org/10.1103/dmn4-snfx" TargetMode="External" Id="rId67" /><Relationship Type="http://schemas.openxmlformats.org/officeDocument/2006/relationships/hyperlink" Target="https://doi.org/10.1016/j.fmre.2026.03.026" TargetMode="External" Id="rId68" /><Relationship Type="http://schemas.openxmlformats.org/officeDocument/2006/relationships/hyperlink" Target="https://doi.org/10.1109/tnnls.2025.3650584" TargetMode="External" Id="rId69" /><Relationship Type="http://schemas.openxmlformats.org/officeDocument/2006/relationships/hyperlink" Target="https://doi.org/10.7554/elife.110436.1" TargetMode="External" Id="rId70" /><Relationship Type="http://schemas.openxmlformats.org/officeDocument/2006/relationships/hyperlink" Target="https://doi.org/10.21203/rs.3.rs-9346251/v1" TargetMode="External" Id="rId71" /><Relationship Type="http://schemas.openxmlformats.org/officeDocument/2006/relationships/hyperlink" Target="https://www.nist.gov/news-events/news/2026/04/any-color-you-nist-scientists-create-any-wavelength-lasers-tiny-circuits" TargetMode="External" Id="rId72" /><Relationship Type="http://schemas.openxmlformats.org/officeDocument/2006/relationships/hyperlink" Target="https://openai.com/academy/healthcare" TargetMode="External" Id="rId73" /><Relationship Type="http://schemas.openxmlformats.org/officeDocument/2006/relationships/hyperlink" Target="https://doi.org/10.1103/q59k-8m26" TargetMode="External" Id="rId74" /><Relationship Type="http://schemas.openxmlformats.org/officeDocument/2006/relationships/hyperlink" Target="https://doi.org/10.3390/math14061047" TargetMode="External" Id="rId75" /><Relationship Type="http://schemas.openxmlformats.org/officeDocument/2006/relationships/hyperlink" Target="https://www.nist.gov/news-events/news/2026/03/nist-submits-annual-report-congress-summarizing-fy-2025-progress-national" TargetMode="External" Id="rId76" /><Relationship Type="http://schemas.openxmlformats.org/officeDocument/2006/relationships/hyperlink" Target="https://doi.org/10.1609/aaai.v40i45.41243" TargetMode="External" Id="rId77" /><Relationship Type="http://schemas.openxmlformats.org/officeDocument/2006/relationships/hyperlink" Target="https://doi.org/10.1609/aaai.v40i1.36969" TargetMode="External" Id="rId78" /><Relationship Type="http://schemas.openxmlformats.org/officeDocument/2006/relationships/hyperlink" Target="https://doi.org/10.48550/arxiv.2603.12860" TargetMode="External" Id="rId79" /><Relationship Type="http://schemas.openxmlformats.org/officeDocument/2006/relationships/hyperlink" Target="https://doi.org/10.3390/electronics15061173" TargetMode="External" Id="rId80" /><Relationship Type="http://schemas.openxmlformats.org/officeDocument/2006/relationships/hyperlink" Target="https://doi.org/10.1080/17452759.2026.2639147" TargetMode="External" Id="rId81" /><Relationship Type="http://schemas.openxmlformats.org/officeDocument/2006/relationships/hyperlink" Target="https://doi.org/10.1145/3757279.3785600" TargetMode="External" Id="rId82" /><Relationship Type="http://schemas.openxmlformats.org/officeDocument/2006/relationships/hyperlink" Target="https://merics.org/en/comment/astrazenecas-rd-bet-makes-china-pharma-innovation-hub" TargetMode="External" Id="rId83" /><Relationship Type="http://schemas.openxmlformats.org/officeDocument/2006/relationships/hyperlink" Target="https://doi.org/10.1038/s41377-026-02249-x" TargetMode="External" Id="rId84" /><Relationship Type="http://schemas.openxmlformats.org/officeDocument/2006/relationships/hyperlink" Target="https://doi.org/10.3390/s26051568" TargetMode="External" Id="rId85" /><Relationship Type="http://schemas.openxmlformats.org/officeDocument/2006/relationships/hyperlink" Target="https://doi.org/10.3390/fi18030124" TargetMode="External" Id="rId86" /><Relationship Type="http://schemas.openxmlformats.org/officeDocument/2006/relationships/hyperlink" Target="https://doi.org/10.3389/fmicb.2026.1762743" TargetMode="External" Id="rId87" /><Relationship Type="http://schemas.openxmlformats.org/officeDocument/2006/relationships/hyperlink" Target="https://www.nist.gov/news-events/news/2026/02/nist-allocates-over-3-million-small-businesses-advancing-ai-biotechnology" TargetMode="External" Id="rId88" /><Relationship Type="http://schemas.openxmlformats.org/officeDocument/2006/relationships/table" Target="/xl/tables/table1.xml" Id="rId8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action/showFeed?type=etoc&amp;feed=rss&amp;jc=science" TargetMode="External" Id="rId21" /><Relationship Type="http://schemas.openxmlformats.org/officeDocument/2006/relationships/hyperlink" Target="https://www.science.org/"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xonomy/term/2936/feed"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cset.georgetown.edu/feed/" TargetMode="External" Id="rId33" /><Relationship Type="http://schemas.openxmlformats.org/officeDocument/2006/relationships/hyperlink" Target="https://cset.georgetown.edu/" TargetMode="External" Id="rId34" /><Relationship Type="http://schemas.openxmlformats.org/officeDocument/2006/relationships/hyperlink" Target="https://www.bruegel.org/rss.xml" TargetMode="External" Id="rId35" /><Relationship Type="http://schemas.openxmlformats.org/officeDocument/2006/relationships/hyperlink" Target="https://www.bruegel.org/" TargetMode="External" Id="rId36" /><Relationship Type="http://schemas.openxmlformats.org/officeDocument/2006/relationships/hyperlink" Target="https://merics.org/en/rss.xml" TargetMode="External" Id="rId37" /><Relationship Type="http://schemas.openxmlformats.org/officeDocument/2006/relationships/hyperlink" Target="https://merics.org/en" TargetMode="External" Id="rId38" /><Relationship Type="http://schemas.openxmlformats.org/officeDocument/2006/relationships/hyperlink" Target="https://www.nsf.gov/rss/rss_www_news.xml" TargetMode="External" Id="rId39" /><Relationship Type="http://schemas.openxmlformats.org/officeDocument/2006/relationships/hyperlink" Target="https://www.nsf.gov/news" TargetMode="External" Id="rId40" /><Relationship Type="http://schemas.openxmlformats.org/officeDocument/2006/relationships/hyperlink" Target="https://www.nist.gov/news-events/news/rss.xml" TargetMode="External" Id="rId41" /><Relationship Type="http://schemas.openxmlformats.org/officeDocument/2006/relationships/hyperlink" Target="https://www.nist.gov/news-events/news" TargetMode="External" Id="rId42" /><Relationship Type="http://schemas.openxmlformats.org/officeDocument/2006/relationships/hyperlink" Target="https://www.nih.gov/news-events/news-releases/rss.xml" TargetMode="External" Id="rId43" /><Relationship Type="http://schemas.openxmlformats.org/officeDocument/2006/relationships/hyperlink" Target="https://www.nih.gov/news-events/news-releases" TargetMode="External" Id="rId44" /><Relationship Type="http://schemas.openxmlformats.org/officeDocument/2006/relationships/hyperlink" Target="https://www.energy.gov/rss/science/3662436" TargetMode="External" Id="rId45" /><Relationship Type="http://schemas.openxmlformats.org/officeDocument/2006/relationships/hyperlink" Target="https://www.energy.gov/science/listings/office-science-news" TargetMode="External" Id="rId46" /><Relationship Type="http://schemas.openxmlformats.org/officeDocument/2006/relationships/hyperlink" Target="https://ec.europa.eu/commission/presscorner/api/rss?language=en&amp;documenttype=press_release" TargetMode="External" Id="rId47" /><Relationship Type="http://schemas.openxmlformats.org/officeDocument/2006/relationships/hyperlink" Target="https://ec.europa.eu/commission/presscorner/home/en" TargetMode="External" Id="rId48" /><Relationship Type="http://schemas.openxmlformats.org/officeDocument/2006/relationships/hyperlink" Target="https://www.gov.uk/government/organisations/department-for-science-innovation-and-technology.atom" TargetMode="External" Id="rId49" /><Relationship Type="http://schemas.openxmlformats.org/officeDocument/2006/relationships/hyperlink" Target="https://www.gov.uk/government/organisations/department-for-science-innovation-and-technology" TargetMode="External" Id="rId50" /><Relationship Type="http://schemas.openxmlformats.org/officeDocument/2006/relationships/hyperlink" Target="https://www.meti.go.jp/english/press/index.rdf" TargetMode="External" Id="rId51" /><Relationship Type="http://schemas.openxmlformats.org/officeDocument/2006/relationships/hyperlink" Target="https://www.meti.go.jp/english/press/index.html" TargetMode="External" Id="rId52" /><Relationship Type="http://schemas.openxmlformats.org/officeDocument/2006/relationships/hyperlink" Target="https://www.who.int/rss-feeds/news-english.xml" TargetMode="External" Id="rId53" /><Relationship Type="http://schemas.openxmlformats.org/officeDocument/2006/relationships/hyperlink" Target="https://www.who.int/news" TargetMode="External" Id="rId54" /><Relationship Type="http://schemas.openxmlformats.org/officeDocument/2006/relationships/hyperlink" Target="https://www.iea.org/rss/news.xml" TargetMode="External" Id="rId55" /><Relationship Type="http://schemas.openxmlformats.org/officeDocument/2006/relationships/hyperlink" Target="https://www.iea.org/news" TargetMode="External" Id="rId56" /><Relationship Type="http://schemas.openxmlformats.org/officeDocument/2006/relationships/hyperlink" Target="https://www.oecd.org/newsroom/rss.xml" TargetMode="External" Id="rId57" /><Relationship Type="http://schemas.openxmlformats.org/officeDocument/2006/relationships/hyperlink" Target="https://www.oecd.org/newsroom/" TargetMode="External" Id="rId58" /><Relationship Type="http://schemas.openxmlformats.org/officeDocument/2006/relationships/hyperlink" Target="https://openai.com/news/rss.xml" TargetMode="External" Id="rId59" /><Relationship Type="http://schemas.openxmlformats.org/officeDocument/2006/relationships/hyperlink" Target="https://openai.com/news/"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rss.xml"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iter.org/news" TargetMode="External" Id="rId73" /><Relationship Type="http://schemas.openxmlformats.org/officeDocument/2006/relationships/hyperlink" Target="https://www.iter.org/news" TargetMode="External" Id="rId74" /><Relationship Type="http://schemas.openxmlformats.org/officeDocument/2006/relationships/hyperlink" Target="https://www.fusionindustryassociation.org/feed/" TargetMode="External" Id="rId75" /><Relationship Type="http://schemas.openxmlformats.org/officeDocument/2006/relationships/hyperlink" Target="https://www.fusionindustryassociation.org/" TargetMode="External" Id="rId76" /><Relationship Type="http://schemas.openxmlformats.org/officeDocument/2006/relationships/hyperlink" Target="https://www8.cao.go.jp/cstp/tougosenryaku/index.html" TargetMode="External" Id="rId77" /><Relationship Type="http://schemas.openxmlformats.org/officeDocument/2006/relationships/hyperlink" Target="https://www8.cao.go.jp/cstp/tougosenryaku/index.html" TargetMode="External" Id="rId78" /><Relationship Type="http://schemas.openxmlformats.org/officeDocument/2006/relationships/hyperlink" Target="https://www.cas.go.jp/jp/seisakukaigi/titeki2/" TargetMode="External" Id="rId79" /><Relationship Type="http://schemas.openxmlformats.org/officeDocument/2006/relationships/hyperlink" Target="https://www.cas.go.jp/jp/seisakukaigi/titeki2/" TargetMode="External" Id="rId80" /><Relationship Type="http://schemas.openxmlformats.org/officeDocument/2006/relationships/hyperlink" Target="https://www.jst.go.jp/crds/report/by-category/05/index.html" TargetMode="External" Id="rId81" /><Relationship Type="http://schemas.openxmlformats.org/officeDocument/2006/relationships/hyperlink" Target="https://www.jst.go.jp/crds/" TargetMode="External" Id="rId82" /><Relationship Type="http://schemas.openxmlformats.org/officeDocument/2006/relationships/hyperlink" Target="https://www.whitehouse.gov/ostp/news/" TargetMode="External" Id="rId83" /><Relationship Type="http://schemas.openxmlformats.org/officeDocument/2006/relationships/hyperlink" Target="https://www.whitehouse.gov/ostp/" TargetMode="External" Id="rId84" /><Relationship Type="http://schemas.openxmlformats.org/officeDocument/2006/relationships/hyperlink" Target="https://www.wipo.int/pressroom/en/articles/archive.html" TargetMode="External" Id="rId85" /><Relationship Type="http://schemas.openxmlformats.org/officeDocument/2006/relationships/hyperlink" Target="https://www.wipo.int/pressroom/en/" TargetMode="External" Id="rId86" /><Relationship Type="http://schemas.openxmlformats.org/officeDocument/2006/relationships/hyperlink" Target="https://www.epo.org/en/news-events/news/feed" TargetMode="External" Id="rId87" /><Relationship Type="http://schemas.openxmlformats.org/officeDocument/2006/relationships/hyperlink" Target="https://www.epo.org/en/news-events/news" TargetMode="External" Id="rId88" /><Relationship Type="http://schemas.openxmlformats.org/officeDocument/2006/relationships/hyperlink" Target="https://api.openalex.org/works" TargetMode="External" Id="rId89" /><Relationship Type="http://schemas.openxmlformats.org/officeDocument/2006/relationships/hyperlink" Target="https://openalex.org/" TargetMode="External" Id="rId90" /><Relationship Type="http://schemas.openxmlformats.org/officeDocument/2006/relationships/hyperlink" Target="https://api.openalex.org/works" TargetMode="External" Id="rId91" /><Relationship Type="http://schemas.openxmlformats.org/officeDocument/2006/relationships/hyperlink" Target="https://openalex.org/" TargetMode="External" Id="rId92" /><Relationship Type="http://schemas.openxmlformats.org/officeDocument/2006/relationships/hyperlink" Target="https://api.openalex.org/works" TargetMode="External" Id="rId93" /><Relationship Type="http://schemas.openxmlformats.org/officeDocument/2006/relationships/hyperlink" Target="https://openalex.org/" TargetMode="External" Id="rId94" /><Relationship Type="http://schemas.openxmlformats.org/officeDocument/2006/relationships/table" Target="/xl/tables/table2.xml" Id="rId95"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67" t="inlineStr">
        <is>
          <t>Global innovation policy and emerging-technology ledger</t>
        </is>
      </c>
      <c r="B2" s="68" t="n"/>
      <c r="C2" s="68" t="n"/>
      <c r="D2" s="68" t="n"/>
      <c r="E2" s="68" t="n"/>
      <c r="F2" s="68" t="n"/>
      <c r="G2" s="68" t="n"/>
      <c r="H2" s="69"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2026-07-26T22:13:31+09:00</t>
        </is>
      </c>
      <c r="C5" s="46" t="n"/>
      <c r="D5" s="25" t="inlineStr">
        <is>
          <t>United States</t>
        </is>
      </c>
      <c r="E5" s="70">
        <f>COUNTIF('News Ledger'!$C$4:$C$10003,D5)</f>
        <v/>
      </c>
      <c r="F5" s="46" t="n"/>
      <c r="G5" s="25" t="inlineStr">
        <is>
          <t>Innovation Policy</t>
        </is>
      </c>
      <c r="H5" s="70">
        <f>COUNTIF('News Ledger'!$E$4:$E$10003,"*Innovation Policy*")</f>
        <v/>
      </c>
    </row>
    <row r="6">
      <c r="A6" s="29" t="inlineStr">
        <is>
          <t>Ledger articles</t>
        </is>
      </c>
      <c r="B6" s="71">
        <f>COUNTA('News Ledger'!$I$4:$I$10003)</f>
        <v/>
      </c>
      <c r="C6" s="46" t="n"/>
      <c r="D6" s="26" t="inlineStr">
        <is>
          <t>Asia</t>
        </is>
      </c>
      <c r="E6" s="72">
        <f>COUNTIF('News Ledger'!$C$4:$C$10003,D6)</f>
        <v/>
      </c>
      <c r="F6" s="46" t="n"/>
      <c r="G6" s="26" t="inlineStr">
        <is>
          <t>Artificial Intelligence</t>
        </is>
      </c>
      <c r="H6" s="72">
        <f>COUNTIF('News Ledger'!$E$4:$E$10003,"*Artificial Intelligence*")</f>
        <v/>
      </c>
    </row>
    <row r="7">
      <c r="A7" s="29" t="inlineStr">
        <is>
          <t>Policy score 3+</t>
        </is>
      </c>
      <c r="B7" s="71">
        <f>COUNTIF('News Ledger'!$F$4:$F$10003,"&gt;=3")</f>
        <v/>
      </c>
      <c r="C7" s="46" t="n"/>
      <c r="D7" s="26" t="inlineStr">
        <is>
          <t>EU &amp; Europe</t>
        </is>
      </c>
      <c r="E7" s="72">
        <f>COUNTIF('News Ledger'!$C$4:$C$10003,D7)</f>
        <v/>
      </c>
      <c r="F7" s="46" t="n"/>
      <c r="G7" s="26" t="inlineStr">
        <is>
          <t>Robotics</t>
        </is>
      </c>
      <c r="H7" s="72">
        <f>COUNTIF('News Ledger'!$E$4:$E$10003,"*Robotics*")</f>
        <v/>
      </c>
    </row>
    <row r="8">
      <c r="A8" s="30" t="inlineStr">
        <is>
          <t>Active sources</t>
        </is>
      </c>
      <c r="B8" s="71">
        <f>COUNTIF('Source Registry'!$A$4:$A$103,"Yes")</f>
        <v/>
      </c>
      <c r="C8" s="46" t="n"/>
      <c r="D8" s="26" t="inlineStr">
        <is>
          <t>Middle East</t>
        </is>
      </c>
      <c r="E8" s="72">
        <f>COUNTIF('News Ledger'!$C$4:$C$10003,D8)</f>
        <v/>
      </c>
      <c r="F8" s="46" t="n"/>
      <c r="G8" s="26" t="inlineStr">
        <is>
          <t>Semiconductors &amp; Telecom</t>
        </is>
      </c>
      <c r="H8" s="72">
        <f>COUNTIF('News Ledger'!$E$4:$E$10003,"*Semiconductors &amp; Telecom*")</f>
        <v/>
      </c>
    </row>
    <row r="9">
      <c r="A9" s="46" t="n"/>
      <c r="B9" s="46" t="n"/>
      <c r="C9" s="46" t="n"/>
      <c r="D9" s="27" t="inlineStr">
        <is>
          <t>Global</t>
        </is>
      </c>
      <c r="E9" s="73">
        <f>COUNTIF('News Ledger'!$C$4:$C$10003,D9)</f>
        <v/>
      </c>
      <c r="F9" s="46" t="n"/>
      <c r="G9" s="26" t="inlineStr">
        <is>
          <t>Quantum</t>
        </is>
      </c>
      <c r="H9" s="72">
        <f>COUNTIF('News Ledger'!$E$4:$E$10003,"*Quantum*")</f>
        <v/>
      </c>
    </row>
    <row r="10">
      <c r="A10" s="46" t="n"/>
      <c r="B10" s="46" t="n"/>
      <c r="C10" s="46" t="n"/>
      <c r="D10" s="46" t="n"/>
      <c r="E10" s="46" t="n"/>
      <c r="F10" s="46" t="n"/>
      <c r="G10" s="26" t="inlineStr">
        <is>
          <t>Fusion Energy</t>
        </is>
      </c>
      <c r="H10" s="72">
        <f>COUNTIF('News Ledger'!$E$4:$E$10003,"*Fusion Energy*")</f>
        <v/>
      </c>
    </row>
    <row r="11">
      <c r="A11" s="46" t="n"/>
      <c r="B11" s="46" t="n"/>
      <c r="C11" s="46" t="n"/>
      <c r="D11" s="46" t="n"/>
      <c r="E11" s="46" t="n"/>
      <c r="F11" s="46" t="n"/>
      <c r="G11" s="26" t="inlineStr">
        <is>
          <t>Biotechnology</t>
        </is>
      </c>
      <c r="H11" s="72">
        <f>COUNTIF('News Ledger'!$E$4:$E$10003,"*Biotechnology*")</f>
        <v/>
      </c>
    </row>
    <row r="12">
      <c r="A12" s="46" t="n"/>
      <c r="B12" s="46" t="n"/>
      <c r="C12" s="46" t="n"/>
      <c r="D12" s="46" t="n"/>
      <c r="E12" s="46" t="n"/>
      <c r="F12" s="46" t="n"/>
      <c r="G12" s="27" t="inlineStr">
        <is>
          <t>Healthcare</t>
        </is>
      </c>
      <c r="H12" s="73">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74" t="n"/>
      <c r="C15" s="74" t="n"/>
      <c r="D15" s="74" t="n"/>
      <c r="E15" s="74" t="n"/>
      <c r="F15" s="74" t="n"/>
      <c r="G15" s="74" t="n"/>
      <c r="H15" s="74" t="n"/>
    </row>
    <row r="16" ht="28" customHeight="1">
      <c r="A16" s="45" t="inlineStr">
        <is>
          <t>2. Policy relevance is scored 0–5 from source type and policy terms.</t>
        </is>
      </c>
      <c r="B16" s="74" t="n"/>
      <c r="C16" s="74" t="n"/>
      <c r="D16" s="74" t="n"/>
      <c r="E16" s="74" t="n"/>
      <c r="F16" s="74" t="n"/>
      <c r="G16" s="74" t="n"/>
      <c r="H16" s="74" t="n"/>
    </row>
    <row r="17" ht="28" customHeight="1">
      <c r="A17" s="45" t="inlineStr">
        <is>
          <t>3. Canonical URLs and title fingerprints remove repeat coverage.</t>
        </is>
      </c>
      <c r="B17" s="74" t="n"/>
      <c r="C17" s="74" t="n"/>
      <c r="D17" s="74" t="n"/>
      <c r="E17" s="74" t="n"/>
      <c r="F17" s="74" t="n"/>
      <c r="G17" s="74" t="n"/>
      <c r="H17" s="74" t="n"/>
    </row>
    <row r="18" ht="28" customHeight="1">
      <c r="A18" s="45" t="inlineStr">
        <is>
          <t>4. Source Registry is an allowlist; anonymous blogs and content farms are excluded.</t>
        </is>
      </c>
      <c r="B18" s="74" t="n"/>
      <c r="C18" s="74" t="n"/>
      <c r="D18" s="74" t="n"/>
      <c r="E18" s="74" t="n"/>
      <c r="F18" s="74" t="n"/>
      <c r="G18" s="74" t="n"/>
      <c r="H18" s="74"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9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67" t="inlineStr">
        <is>
          <t>Master article ledger with canonical-URL and title-fingerprint deduplication</t>
        </is>
      </c>
      <c r="B2" s="68" t="n"/>
      <c r="C2" s="68" t="n"/>
      <c r="D2" s="68" t="n"/>
      <c r="E2" s="68" t="n"/>
      <c r="F2" s="68" t="n"/>
      <c r="G2" s="68" t="n"/>
      <c r="H2" s="68" t="n"/>
      <c r="I2" s="68" t="n"/>
      <c r="J2" s="68" t="n"/>
      <c r="K2" s="68" t="n"/>
      <c r="L2" s="68" t="n"/>
      <c r="M2" s="68" t="n"/>
      <c r="N2" s="68" t="n"/>
      <c r="O2" s="69"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75" t="inlineStr">
        <is>
          <t>2026-07-26T21:02:36+09:00</t>
        </is>
      </c>
      <c r="B4" s="75" t="inlineStr">
        <is>
          <t>2026-07-25T07:03:59Z</t>
        </is>
      </c>
      <c r="C4" s="60" t="inlineStr">
        <is>
          <t>Global</t>
        </is>
      </c>
      <c r="D4" s="60" t="inlineStr">
        <is>
          <t>United States</t>
        </is>
      </c>
      <c r="E4" s="60" t="inlineStr">
        <is>
          <t>Artificial Intelligence</t>
        </is>
      </c>
      <c r="F4" s="76" t="n">
        <v>2</v>
      </c>
      <c r="G4" s="60" t="inlineStr">
        <is>
          <t>Official Company</t>
        </is>
      </c>
      <c r="H4" s="60" t="inlineStr">
        <is>
          <t>OpenAI News</t>
        </is>
      </c>
      <c r="I4" s="60" t="inlineStr">
        <is>
          <t>サイバーセキュリティ助成プログラムによる防御者の強化</t>
        </is>
      </c>
      <c r="J4" s="60" t="inlineStr">
        <is>
          <t>サイバーセキュリティにおける革新的な研究とAI統合を強調した助成プログラムについての報告。</t>
        </is>
      </c>
      <c r="K4" s="60" t="inlineStr">
        <is>
          <t>https://openai.com/index/empowering-defenders-through-our-cybersecurity-grant-program</t>
        </is>
      </c>
      <c r="L4" s="60" t="inlineStr">
        <is>
          <t>c2c6b4643598298d6a0dbf2d</t>
        </is>
      </c>
      <c r="M4" s="75" t="inlineStr">
        <is>
          <t>2026-07-26T21:02:36+09:00</t>
        </is>
      </c>
      <c r="N4" s="60" t="inlineStr">
        <is>
          <t>New</t>
        </is>
      </c>
      <c r="O4" s="60" t="inlineStr">
        <is>
          <t>枠: Innovation Policy / 政策分野: R&amp;D Funding &amp; Tax Incentives / 学術区分: News &amp; Official Release / 焦点: サイバーセキュリティにおけるAI統合 / Historical backfill from an allowlisted source.</t>
        </is>
      </c>
    </row>
    <row r="5" ht="42" customHeight="1">
      <c r="A5" s="75" t="inlineStr">
        <is>
          <t>2026-07-26T21:45:54+09:00</t>
        </is>
      </c>
      <c r="B5" s="75" t="inlineStr">
        <is>
          <t>2026-07-24T01:25:22Z</t>
        </is>
      </c>
      <c r="C5" s="60" t="inlineStr">
        <is>
          <t>EU &amp; Europe</t>
        </is>
      </c>
      <c r="D5" s="60" t="inlineStr">
        <is>
          <t>European Patent Organisation</t>
        </is>
      </c>
      <c r="E5" s="60" t="inlineStr"/>
      <c r="F5" s="76" t="n">
        <v>4</v>
      </c>
      <c r="G5" s="60" t="inlineStr">
        <is>
          <t>Intergovernmental</t>
        </is>
      </c>
      <c r="H5" s="60" t="inlineStr">
        <is>
          <t>European Patent Office News</t>
        </is>
      </c>
      <c r="I5" s="60" t="inlineStr">
        <is>
          <t>EPOが2037年までPCT権限を継続</t>
        </is>
      </c>
      <c r="J5" s="60" t="inlineStr">
        <is>
          <t>PCT総会はEPOを国際調査および予備審査機関として再任した。</t>
        </is>
      </c>
      <c r="K5" s="60" t="inlineStr">
        <is>
          <t>https://www.epo.org/en/news-events/news/epo-continue-key-role-pct-authority-until-2037</t>
        </is>
      </c>
      <c r="L5" s="60" t="inlineStr">
        <is>
          <t>0709c55767ed6dbd79c145c1</t>
        </is>
      </c>
      <c r="M5" s="75" t="inlineStr">
        <is>
          <t>2026-07-26T21:45:54+09:00</t>
        </is>
      </c>
      <c r="N5" s="60" t="inlineStr">
        <is>
          <t>New</t>
        </is>
      </c>
      <c r="O5" s="60" t="inlineStr">
        <is>
          <t>枠: Innovation Policy / 政策分野: Patents &amp; Intellectual Property / 学術区分: News &amp; Official Release / 焦点: PCTにおけるEPOの役割</t>
        </is>
      </c>
    </row>
    <row r="6" ht="42" customHeight="1">
      <c r="A6" s="75" t="inlineStr">
        <is>
          <t>2026-07-26T21:29:09+09:00</t>
        </is>
      </c>
      <c r="B6" s="75" t="inlineStr">
        <is>
          <t>2026-07-24T00:00:00Z</t>
        </is>
      </c>
      <c r="C6" s="60" t="inlineStr">
        <is>
          <t>Global</t>
        </is>
      </c>
      <c r="D6" s="60" t="inlineStr">
        <is>
          <t>Global</t>
        </is>
      </c>
      <c r="E6" s="60" t="inlineStr">
        <is>
          <t>Healthcare | Artificial Intelligence</t>
        </is>
      </c>
      <c r="F6" s="76" t="n">
        <v>0</v>
      </c>
      <c r="G6" s="60" t="inlineStr">
        <is>
          <t>Journal Article</t>
        </is>
      </c>
      <c r="H6" s="60" t="inlineStr">
        <is>
          <t>Frontiers in Oral Health</t>
        </is>
      </c>
      <c r="I6" s="60" t="inlineStr">
        <is>
          <t>リモートスクリーニングから精密予防へ：リスク予測と公平な口腔医療のための責任あるマルチモーダルAI</t>
        </is>
      </c>
      <c r="J6" s="60" t="inlineStr">
        <is>
          <t>AIの口腔医療への応用が進展し、診断性能が向上しているが、バイアスや外部検証の不足などの課題が残る。</t>
        </is>
      </c>
      <c r="K6" s="60" t="inlineStr">
        <is>
          <t>https://doi.org/10.3389/froh.2026.1878692</t>
        </is>
      </c>
      <c r="L6" s="60" t="inlineStr">
        <is>
          <t>7c510b60fabb7257c2f4eca5</t>
        </is>
      </c>
      <c r="M6" s="75" t="inlineStr">
        <is>
          <t>2026-07-26T21:29:09+09:00</t>
        </is>
      </c>
      <c r="N6" s="60" t="inlineStr">
        <is>
          <t>New</t>
        </is>
      </c>
      <c r="O6" s="60" t="inlineStr">
        <is>
          <t>枠: Technology Innovation / 学術区分: Journal Article / 査読表示: Journal record — confirm peer review on publisher page / 掲載誌・学会: Frontiers in Oral Health / 焦点: AIを用いた口腔医療におけるリスク予測 / OpenAlex record; work type=article; citations=0</t>
        </is>
      </c>
    </row>
    <row r="7" ht="42" customHeight="1">
      <c r="A7" s="75" t="inlineStr">
        <is>
          <t>2026-07-26T21:45:54+09:00</t>
        </is>
      </c>
      <c r="B7" s="75" t="inlineStr">
        <is>
          <t>2026-07-23T04:00:01Z</t>
        </is>
      </c>
      <c r="C7" s="60" t="inlineStr">
        <is>
          <t>EU &amp; Europe</t>
        </is>
      </c>
      <c r="D7" s="60" t="inlineStr">
        <is>
          <t>European Patent Organisation</t>
        </is>
      </c>
      <c r="E7" s="60" t="inlineStr"/>
      <c r="F7" s="76" t="n">
        <v>4</v>
      </c>
      <c r="G7" s="60" t="inlineStr">
        <is>
          <t>Intergovernmental</t>
        </is>
      </c>
      <c r="H7" s="60" t="inlineStr">
        <is>
          <t>European Patent Office News</t>
        </is>
      </c>
      <c r="I7" s="60" t="inlineStr">
        <is>
          <t>特許付与プロセスが2027年4月1日から完全デジタル化</t>
        </is>
      </c>
      <c r="J7" s="60" t="inlineStr">
        <is>
          <t>EPOは、ユーザーとの密接な協力のもとで数年間のデジタル変革を経て、特許のデジタル申請と通知を義務化する準備を進めている。</t>
        </is>
      </c>
      <c r="K7" s="60" t="inlineStr">
        <is>
          <t>https://www.epo.org/en/news-events/news/patent-granting-process-fully-digital-1-april-2027</t>
        </is>
      </c>
      <c r="L7" s="60" t="inlineStr">
        <is>
          <t>0f53b9e079b5f01ec34debad</t>
        </is>
      </c>
      <c r="M7" s="75" t="inlineStr">
        <is>
          <t>2026-07-26T21:45:54+09:00</t>
        </is>
      </c>
      <c r="N7" s="60" t="inlineStr">
        <is>
          <t>New</t>
        </is>
      </c>
      <c r="O7" s="60" t="inlineStr">
        <is>
          <t>枠: Innovation Policy / 政策分野: Patents &amp; Intellectual Property / 学術区分: News &amp; Official Release / 焦点: 特許のデジタル申請および通知の義務化</t>
        </is>
      </c>
    </row>
    <row r="8" ht="42" customHeight="1">
      <c r="A8" s="75" t="inlineStr">
        <is>
          <t>2026-07-26T21:29:09+09:00</t>
        </is>
      </c>
      <c r="B8" s="75" t="inlineStr">
        <is>
          <t>2026-07-23T00:00:00Z</t>
        </is>
      </c>
      <c r="C8" s="60" t="inlineStr">
        <is>
          <t>Global</t>
        </is>
      </c>
      <c r="D8" s="60" t="inlineStr">
        <is>
          <t>Global</t>
        </is>
      </c>
      <c r="E8" s="60" t="inlineStr">
        <is>
          <t>Fusion Energy</t>
        </is>
      </c>
      <c r="F8" s="76" t="n">
        <v>0</v>
      </c>
      <c r="G8" s="60" t="inlineStr">
        <is>
          <t>Journal Article</t>
        </is>
      </c>
      <c r="H8" s="60" t="inlineStr">
        <is>
          <t>Nuclear Fusion</t>
        </is>
      </c>
      <c r="I8" s="60" t="inlineStr">
        <is>
          <t>Wendelstein 7-Xにおける高速イオンの閉じ込めにおける放射電場の役割</t>
        </is>
      </c>
      <c r="J8" s="60" t="inlineStr">
        <is>
          <t>Wendelstein 7-Xの磁気構成が高速イオンの閉じ込めを改善することが期待されるが、その検証は難しい。</t>
        </is>
      </c>
      <c r="K8" s="60" t="inlineStr">
        <is>
          <t>https://doi.org/10.1088/1741-4326/ae8f55</t>
        </is>
      </c>
      <c r="L8" s="60" t="inlineStr">
        <is>
          <t>eef01d292bfb6d5bb3537528</t>
        </is>
      </c>
      <c r="M8" s="75" t="inlineStr">
        <is>
          <t>2026-07-26T21:29:09+09:00</t>
        </is>
      </c>
      <c r="N8" s="60" t="inlineStr">
        <is>
          <t>New</t>
        </is>
      </c>
      <c r="O8" s="60" t="inlineStr">
        <is>
          <t>枠: Technology Innovation / 学術区分: Journal Article / 査読表示: Journal record — confirm peer review on publisher page / 掲載誌・学会: Nuclear Fusion / 焦点: Wendelstein 7-Xの高速イオンの閉じ込めにおける放射電場の役割 / OpenAlex record; work type=article; citations=0</t>
        </is>
      </c>
    </row>
    <row r="9" ht="42" customHeight="1">
      <c r="A9" s="75" t="inlineStr">
        <is>
          <t>2026-07-26T21:29:09+09:00</t>
        </is>
      </c>
      <c r="B9" s="75" t="inlineStr">
        <is>
          <t>2026-07-23T00:00:00Z</t>
        </is>
      </c>
      <c r="C9" s="60" t="inlineStr">
        <is>
          <t>Global</t>
        </is>
      </c>
      <c r="D9" s="60" t="inlineStr">
        <is>
          <t>Global</t>
        </is>
      </c>
      <c r="E9" s="60" t="inlineStr">
        <is>
          <t>Artificial Intelligence</t>
        </is>
      </c>
      <c r="F9" s="76" t="n">
        <v>0</v>
      </c>
      <c r="G9" s="60" t="inlineStr">
        <is>
          <t>Journal Article</t>
        </is>
      </c>
      <c r="H9" s="60" t="inlineStr">
        <is>
          <t>OpenAlex Journal Articles</t>
        </is>
      </c>
      <c r="I9" s="60" t="inlineStr">
        <is>
          <t>人工知能による地磁気嵐の予測：レビュー、方法論的枠組み、シミュレーション事例研究</t>
        </is>
      </c>
      <c r="J9" s="60" t="inlineStr">
        <is>
          <t>地磁気嵐の予測において、人工知能技術が従来のモデルよりも高い精度を示すことをレビューし、AI駆動の予測システムの構築方法を提案する。</t>
        </is>
      </c>
      <c r="K9" s="60" t="inlineStr">
        <is>
          <t>https://doi.org/10.64823/ijpcs.2601002</t>
        </is>
      </c>
      <c r="L9" s="60" t="inlineStr">
        <is>
          <t>00fc3537b602e30057c2118d</t>
        </is>
      </c>
      <c r="M9" s="75" t="inlineStr">
        <is>
          <t>2026-07-26T21:29:09+09:00</t>
        </is>
      </c>
      <c r="N9" s="60" t="inlineStr">
        <is>
          <t>New</t>
        </is>
      </c>
      <c r="O9" s="60" t="inlineStr">
        <is>
          <t>枠: Technology Innovation / 学術区分: Journal Article / 査読表示: Journal record — confirm peer review on publisher page / 焦点: 地磁気嵐予測におけるAI技術 / OpenAlex record; work type=article; citations=0</t>
        </is>
      </c>
    </row>
    <row r="10" ht="42" customHeight="1">
      <c r="A10" s="75" t="inlineStr">
        <is>
          <t>2026-07-26T21:29:09+09:00</t>
        </is>
      </c>
      <c r="B10" s="75" t="inlineStr">
        <is>
          <t>2026-07-23T00:00:00Z</t>
        </is>
      </c>
      <c r="C10" s="60" t="inlineStr">
        <is>
          <t>Global</t>
        </is>
      </c>
      <c r="D10" s="60" t="inlineStr">
        <is>
          <t>Global</t>
        </is>
      </c>
      <c r="E10" s="60" t="inlineStr">
        <is>
          <t>Quantum</t>
        </is>
      </c>
      <c r="F10" s="76" t="n">
        <v>4</v>
      </c>
      <c r="G10" s="60" t="inlineStr">
        <is>
          <t>Preprint</t>
        </is>
      </c>
      <c r="H10" s="60" t="inlineStr">
        <is>
          <t>Zenodo (CERN European Organization for Nuclear Research)</t>
        </is>
      </c>
      <c r="I10" s="60" t="inlineStr">
        <is>
          <t>量子技術ガバナンスに関するPrim-Lex理論：キュービットから量子主権へ</t>
        </is>
      </c>
      <c r="J10" s="60" t="inlineStr">
        <is>
          <t>OECDが量子技術に関する初の国際的な標準を採択し、量子技術のガバナンスが学術的議論から制度的構築へと移行したことを示す。</t>
        </is>
      </c>
      <c r="K10" s="60" t="inlineStr">
        <is>
          <t>https://doi.org/10.5281/zenodo.21512028</t>
        </is>
      </c>
      <c r="L10" s="60" t="inlineStr">
        <is>
          <t>61f1fcfb9afff652f523d019</t>
        </is>
      </c>
      <c r="M10" s="75" t="inlineStr">
        <is>
          <t>2026-07-26T21:29:09+09:00</t>
        </is>
      </c>
      <c r="N10" s="60" t="inlineStr">
        <is>
          <t>New</t>
        </is>
      </c>
      <c r="O10" s="60" t="inlineStr">
        <is>
          <t>枠: Technology Innovation | Innovation Policy / 政策分野: National Programs &amp; Strategy / 学術区分: Preprint / 査読表示: Not peer reviewed / 掲載誌・学会: Zenodo (CERN European Organization for Nuclear Research) / 焦点: 量子技術のガバナンスと国際標準 / OpenAlex record; work type=preprint; citations=0</t>
        </is>
      </c>
    </row>
    <row r="11" ht="42" customHeight="1">
      <c r="A11" s="75" t="inlineStr">
        <is>
          <t>2026-07-26T21:29:09+09:00</t>
        </is>
      </c>
      <c r="B11" s="75" t="inlineStr">
        <is>
          <t>2026-07-23T00:00:00Z</t>
        </is>
      </c>
      <c r="C11" s="60" t="inlineStr">
        <is>
          <t>Global</t>
        </is>
      </c>
      <c r="D11" s="60" t="inlineStr">
        <is>
          <t>Global</t>
        </is>
      </c>
      <c r="E11" s="60" t="inlineStr">
        <is>
          <t>Space</t>
        </is>
      </c>
      <c r="F11" s="76" t="n">
        <v>0</v>
      </c>
      <c r="G11" s="60" t="inlineStr">
        <is>
          <t>Preprint</t>
        </is>
      </c>
      <c r="H11" s="60" t="inlineStr">
        <is>
          <t>Research Square</t>
        </is>
      </c>
      <c r="I11" s="60" t="inlineStr">
        <is>
          <t>軸対称液体貯蔵タンクのスロッシング等価パラメータに関するモデル化手法</t>
        </is>
      </c>
      <c r="J11" s="60" t="inlineStr">
        <is>
          <t>液体貯蔵タンクのスロッシングに関する新しいモデル化手法を提案し、流体力学的なシミュレーションを行う。</t>
        </is>
      </c>
      <c r="K11" s="60" t="inlineStr">
        <is>
          <t>https://doi.org/10.21203/rs.3.rs-10191620/v1</t>
        </is>
      </c>
      <c r="L11" s="60" t="inlineStr">
        <is>
          <t>5dcc87029750dfedd91e620a</t>
        </is>
      </c>
      <c r="M11" s="75" t="inlineStr">
        <is>
          <t>2026-07-26T21:29:09+09:00</t>
        </is>
      </c>
      <c r="N11" s="60" t="inlineStr">
        <is>
          <t>New</t>
        </is>
      </c>
      <c r="O11" s="60" t="inlineStr">
        <is>
          <t>枠: Technology Innovation / 学術区分: Preprint / 査読表示: Not peer reviewed / 掲載誌・学会: Research Square / 焦点: 液体貯蔵タンクのスロッシングモデル / OpenAlex record; work type=preprint; citations=0</t>
        </is>
      </c>
    </row>
    <row r="12" ht="42" customHeight="1">
      <c r="A12" s="75" t="inlineStr">
        <is>
          <t>2026-07-26T19:05:06+09:00</t>
        </is>
      </c>
      <c r="B12" s="75" t="inlineStr">
        <is>
          <t>2026-07-22T13:53:12Z</t>
        </is>
      </c>
      <c r="C12" s="60" t="inlineStr">
        <is>
          <t>United States</t>
        </is>
      </c>
      <c r="D12" s="60" t="inlineStr">
        <is>
          <t>United States</t>
        </is>
      </c>
      <c r="E12" s="60" t="inlineStr">
        <is>
          <t>Artificial Intelligence</t>
        </is>
      </c>
      <c r="F12" s="76" t="n">
        <v>4</v>
      </c>
      <c r="G12" s="60" t="inlineStr">
        <is>
          <t>Government</t>
        </is>
      </c>
      <c r="H12" s="60" t="inlineStr">
        <is>
          <t>National Science Foundation News</t>
        </is>
      </c>
      <c r="I12" s="60" t="inlineStr">
        <is>
          <t>NSFがAIによる科学的発見のためのデータセット価値を解放する新プログラムを発表</t>
        </is>
      </c>
      <c r="J12" s="60" t="inlineStr">
        <is>
          <t>米国国立科学財団は、AIを活用した科学的発見のためのデータセット価値を解放するプログラムを発表しました。</t>
        </is>
      </c>
      <c r="K12" s="60" t="inlineStr">
        <is>
          <t>https://www.nsf.gov/news/new-nsf-initiative-aims-unlock-dataset-value-ai-enabled</t>
        </is>
      </c>
      <c r="L12" s="60" t="inlineStr">
        <is>
          <t>dcd819527d9b80141b26bcb8</t>
        </is>
      </c>
      <c r="M12" s="75" t="inlineStr">
        <is>
          <t>2026-07-26T19:05:06+09:00</t>
        </is>
      </c>
      <c r="N12" s="60" t="inlineStr">
        <is>
          <t>New</t>
        </is>
      </c>
      <c r="O12" s="60" t="inlineStr">
        <is>
          <t>枠: Innovation Policy / 政策分野: R&amp;D Funding &amp; Tax Incentives / 学術区分: News &amp; Official Release / 焦点: AIを活用した科学的発見のためのデータセット</t>
        </is>
      </c>
    </row>
    <row r="13" ht="42" customHeight="1">
      <c r="A13" s="75" t="inlineStr">
        <is>
          <t>2026-07-26T20:29:40+09:00</t>
        </is>
      </c>
      <c r="B13" s="75" t="inlineStr">
        <is>
          <t>2026-07-22T13:53:06Z</t>
        </is>
      </c>
      <c r="C13" s="60" t="inlineStr">
        <is>
          <t>United States</t>
        </is>
      </c>
      <c r="D13" s="60" t="inlineStr">
        <is>
          <t>United States</t>
        </is>
      </c>
      <c r="E13" s="60" t="inlineStr">
        <is>
          <t>Artificial Intelligence</t>
        </is>
      </c>
      <c r="F13" s="76" t="n">
        <v>4</v>
      </c>
      <c r="G13" s="60" t="inlineStr">
        <is>
          <t>Government</t>
        </is>
      </c>
      <c r="H13" s="60" t="inlineStr">
        <is>
          <t>National Science Foundation News</t>
        </is>
      </c>
      <c r="I13" s="60" t="inlineStr">
        <is>
          <t>NSFがAI駆動の科学を進展させるために8300万ドルの投資を発表</t>
        </is>
      </c>
      <c r="J13" s="60" t="inlineStr">
        <is>
          <t>米国国立科学財団は、AI駆動の科学を進展させるために8300万ドルの投資を発表しました。</t>
        </is>
      </c>
      <c r="K13" s="60" t="inlineStr">
        <is>
          <t>https://www.nsf.gov/news/nsf-announces-83m-investment-integrated-data-systems</t>
        </is>
      </c>
      <c r="L13" s="60" t="inlineStr">
        <is>
          <t>018d40b7e6eb7aa4b8cfb5fa</t>
        </is>
      </c>
      <c r="M13" s="75" t="inlineStr">
        <is>
          <t>2026-07-26T20:29:40+09:00</t>
        </is>
      </c>
      <c r="N13" s="60" t="inlineStr">
        <is>
          <t>New</t>
        </is>
      </c>
      <c r="O13" s="60" t="inlineStr">
        <is>
          <t>枠: Innovation Policy / 政策分野: National Programs &amp; Strategy | Research System &amp; Talent / 学術区分: News &amp; Official Release / 焦点: AI駆動の科学のためのデータシステム</t>
        </is>
      </c>
    </row>
    <row r="14" ht="42" customHeight="1">
      <c r="A14" s="75" t="inlineStr">
        <is>
          <t>2026-07-26T20:29:40+09:00</t>
        </is>
      </c>
      <c r="B14" s="75" t="inlineStr">
        <is>
          <t>2026-07-22T12:00:00Z</t>
        </is>
      </c>
      <c r="C14" s="60" t="inlineStr">
        <is>
          <t>United States</t>
        </is>
      </c>
      <c r="D14" s="60" t="inlineStr">
        <is>
          <t>United States</t>
        </is>
      </c>
      <c r="E14" s="60" t="inlineStr"/>
      <c r="F14" s="76" t="n">
        <v>4</v>
      </c>
      <c r="G14" s="60" t="inlineStr">
        <is>
          <t>Government</t>
        </is>
      </c>
      <c r="H14" s="60" t="inlineStr">
        <is>
          <t>NIST News</t>
        </is>
      </c>
      <c r="I14" s="60" t="inlineStr">
        <is>
          <t>NIST、中小企業向けの資金提供機会を発表</t>
        </is>
      </c>
      <c r="J14" s="60" t="inlineStr">
        <is>
          <t>NIST MEPが中小企業向けの資金提供機会を発表し、2026年7月28日にウェビナーを開催する予定。</t>
        </is>
      </c>
      <c r="K14" s="60" t="inlineStr">
        <is>
          <t>https://www.nist.gov/news-events/news/2026/07/nist-announces-funding-opportunity-14-mep-centers-advance-small-and-medium</t>
        </is>
      </c>
      <c r="L14" s="60" t="inlineStr">
        <is>
          <t>5aa9c93bc7040291c9f08bfa</t>
        </is>
      </c>
      <c r="M14" s="75" t="inlineStr">
        <is>
          <t>2026-07-26T20:29:40+09:00</t>
        </is>
      </c>
      <c r="N14" s="60" t="inlineStr">
        <is>
          <t>New</t>
        </is>
      </c>
      <c r="O14" s="60" t="inlineStr">
        <is>
          <t>枠: Innovation Policy / 政策分野: R&amp;D Funding &amp; Tax Incentives | Public Procurement &amp; Industrial Policy / 学術区分: News &amp; Official Release / 焦点: 中小企業向けの資金提供機会</t>
        </is>
      </c>
    </row>
    <row r="15" ht="42" customHeight="1">
      <c r="A15" s="75" t="inlineStr">
        <is>
          <t>2026-07-26T21:02:36+09:00</t>
        </is>
      </c>
      <c r="B15" s="75" t="inlineStr">
        <is>
          <t>2026-07-22T05:00:56Z</t>
        </is>
      </c>
      <c r="C15" s="60" t="inlineStr">
        <is>
          <t>Asia</t>
        </is>
      </c>
      <c r="D15" s="60" t="inlineStr">
        <is>
          <t>Japan</t>
        </is>
      </c>
      <c r="E15" s="60" t="inlineStr">
        <is>
          <t>Artificial Intelligence</t>
        </is>
      </c>
      <c r="F15" s="76" t="n">
        <v>5</v>
      </c>
      <c r="G15" s="60" t="inlineStr">
        <is>
          <t>Government</t>
        </is>
      </c>
      <c r="H15" s="60" t="inlineStr">
        <is>
          <t>NISTEP Updates</t>
        </is>
      </c>
      <c r="I15" s="60" t="inlineStr">
        <is>
          <t>特定科学技術領域動向報告書 -AI（人工知能）- 研究開発インプット編を公表</t>
        </is>
      </c>
      <c r="J15" s="60" t="inlineStr">
        <is>
          <t>AI分野における研究開発状況を分析し、基礎データをまとめた報告書を公表。</t>
        </is>
      </c>
      <c r="K15" s="60" t="inlineStr">
        <is>
          <t>https://www.nistep.go.jp/archives/63583/</t>
        </is>
      </c>
      <c r="L15" s="60" t="inlineStr">
        <is>
          <t>6b6122461584a86ee7a1c595</t>
        </is>
      </c>
      <c r="M15" s="75" t="inlineStr">
        <is>
          <t>2026-07-22T14:00:56+09:00</t>
        </is>
      </c>
      <c r="N15" s="60" t="inlineStr">
        <is>
          <t>New</t>
        </is>
      </c>
      <c r="O15" s="60" t="inlineStr">
        <is>
          <t>枠: Technology Innovation | Innovation Policy / 政策分野: National Programs &amp; Strategy / 学術区分: News &amp; Official Release / 焦点: 人工知能（AI）分野の研究開発インプット</t>
        </is>
      </c>
    </row>
    <row r="16" ht="42" customHeight="1">
      <c r="A16" s="75" t="inlineStr">
        <is>
          <t>2026-07-26T21:02:36+09:00</t>
        </is>
      </c>
      <c r="B16" s="75" t="inlineStr">
        <is>
          <t>2026-07-22T00:00:00Z</t>
        </is>
      </c>
      <c r="C16" s="60" t="inlineStr">
        <is>
          <t>Global</t>
        </is>
      </c>
      <c r="D16" s="60" t="inlineStr">
        <is>
          <t>Global</t>
        </is>
      </c>
      <c r="E16" s="60" t="inlineStr">
        <is>
          <t>Biotechnology</t>
        </is>
      </c>
      <c r="F16" s="76" t="n">
        <v>0</v>
      </c>
      <c r="G16" s="60" t="inlineStr">
        <is>
          <t>Scientific Publication</t>
        </is>
      </c>
      <c r="H16" s="60" t="inlineStr">
        <is>
          <t>Nature</t>
        </is>
      </c>
      <c r="I16" s="60" t="inlineStr">
        <is>
          <t>ブラウンブルヘッドキャットフィッシュのメラノーマは新しい伝染性がんを示す</t>
        </is>
      </c>
      <c r="J16" s="60" t="inlineStr">
        <is>
          <t>ブラウンブルヘッドキャットフィッシュの腫瘍と非腫瘍組織の全ゲノム配列解析により、自然に発生する伝染性がんの一種が明らかになった。</t>
        </is>
      </c>
      <c r="K16" s="60" t="inlineStr">
        <is>
          <t>https://www.nature.com/articles/s41586-026-10832-w</t>
        </is>
      </c>
      <c r="L16" s="60" t="inlineStr">
        <is>
          <t>f9bccca3cabb5ce19441f09d</t>
        </is>
      </c>
      <c r="M16" s="75" t="inlineStr">
        <is>
          <t>2026-07-22T09:00:00+09:00</t>
        </is>
      </c>
      <c r="N16" s="60" t="inlineStr">
        <is>
          <t>New</t>
        </is>
      </c>
      <c r="O16" s="60" t="inlineStr">
        <is>
          <t>枠: Technology Innovation / 学術区分: News &amp; Official Release / 焦点: トランスミッシブルがん</t>
        </is>
      </c>
    </row>
    <row r="17" ht="42" customHeight="1">
      <c r="A17" s="75" t="inlineStr">
        <is>
          <t>2026-07-26T21:02:36+09:00</t>
        </is>
      </c>
      <c r="B17" s="75" t="inlineStr">
        <is>
          <t>2026-07-22T00:00:00Z</t>
        </is>
      </c>
      <c r="C17" s="60" t="inlineStr">
        <is>
          <t>Global</t>
        </is>
      </c>
      <c r="D17" s="60" t="inlineStr">
        <is>
          <t>Global</t>
        </is>
      </c>
      <c r="E17" s="60" t="inlineStr">
        <is>
          <t>Quantum</t>
        </is>
      </c>
      <c r="F17" s="76" t="n">
        <v>0</v>
      </c>
      <c r="G17" s="60" t="inlineStr">
        <is>
          <t>Scientific Publication</t>
        </is>
      </c>
      <c r="H17" s="60" t="inlineStr">
        <is>
          <t>Nature</t>
        </is>
      </c>
      <c r="I17" s="60" t="inlineStr">
        <is>
          <t>量子パラエレクトリックSrTiO3におけるナノスケール極性テクスチャのイメージング</t>
        </is>
      </c>
      <c r="J17" s="60" t="inlineStr">
        <is>
          <t>Cryo-STEMを用いて、SrTiO3が105K以下で周期的な極性ナノドメインを形成することが明らかになった。</t>
        </is>
      </c>
      <c r="K17" s="60" t="inlineStr">
        <is>
          <t>https://www.nature.com/articles/s41586-026-10823-x</t>
        </is>
      </c>
      <c r="L17" s="60" t="inlineStr">
        <is>
          <t>f12f62aebb861877dd7a5cbf</t>
        </is>
      </c>
      <c r="M17" s="75" t="inlineStr">
        <is>
          <t>2026-07-22T09:00:00+09:00</t>
        </is>
      </c>
      <c r="N17" s="60" t="inlineStr">
        <is>
          <t>New</t>
        </is>
      </c>
      <c r="O17" s="60" t="inlineStr">
        <is>
          <t>枠: Technology Innovation / 学術区分: News &amp; Official Release / 焦点: 量子パラエレクトリックSrTiO3のナノスケール極性テクスチャのイメージング</t>
        </is>
      </c>
    </row>
    <row r="18" ht="42" customHeight="1">
      <c r="A18" s="75" t="inlineStr">
        <is>
          <t>2026-07-26T21:02:36+09:00</t>
        </is>
      </c>
      <c r="B18" s="75" t="inlineStr">
        <is>
          <t>2026-07-22T00:00:00Z</t>
        </is>
      </c>
      <c r="C18" s="60" t="inlineStr">
        <is>
          <t>Global</t>
        </is>
      </c>
      <c r="D18" s="60" t="inlineStr">
        <is>
          <t>Global</t>
        </is>
      </c>
      <c r="E18" s="60" t="inlineStr">
        <is>
          <t>Biotechnology</t>
        </is>
      </c>
      <c r="F18" s="76" t="n">
        <v>0</v>
      </c>
      <c r="G18" s="60" t="inlineStr">
        <is>
          <t>Scientific Publication</t>
        </is>
      </c>
      <c r="H18" s="60" t="inlineStr">
        <is>
          <t>Nature</t>
        </is>
      </c>
      <c r="I18" s="60" t="inlineStr">
        <is>
          <t>ブラウンブルヘッドキャットフィッシュのメラノーマは新しい伝染性がんを示す</t>
        </is>
      </c>
      <c r="J18" s="60" t="inlineStr">
        <is>
          <t>ブラウンブルヘッドキャットフィッシュの腫瘍と非腫瘍組織の全ゲノム配列解析により、自然に発生する伝染性がんの一種が明らかになった。</t>
        </is>
      </c>
      <c r="K18" s="60" t="inlineStr">
        <is>
          <t>https://www.nature.com/articles/s41586-026-10828-6</t>
        </is>
      </c>
      <c r="L18" s="60" t="inlineStr">
        <is>
          <t>3c774b8bd5e287725e43b3b5</t>
        </is>
      </c>
      <c r="M18" s="75" t="inlineStr">
        <is>
          <t>2026-07-22T09:00:00+09:00</t>
        </is>
      </c>
      <c r="N18" s="60" t="inlineStr">
        <is>
          <t>New</t>
        </is>
      </c>
      <c r="O18" s="60" t="inlineStr">
        <is>
          <t>枠: Technology Innovation / 学術区分: News &amp; Official Release / 焦点: トランスミッシブルがんの発見</t>
        </is>
      </c>
    </row>
    <row r="19" ht="42" customHeight="1">
      <c r="A19" s="75" t="inlineStr">
        <is>
          <t>2026-07-26T21:02:36+09:00</t>
        </is>
      </c>
      <c r="B19" s="75" t="inlineStr">
        <is>
          <t>2026-07-22T00:00:00Z</t>
        </is>
      </c>
      <c r="C19" s="60" t="inlineStr">
        <is>
          <t>Global</t>
        </is>
      </c>
      <c r="D19" s="60" t="inlineStr">
        <is>
          <t>Global</t>
        </is>
      </c>
      <c r="E19" s="60" t="inlineStr">
        <is>
          <t>Artificial Intelligence</t>
        </is>
      </c>
      <c r="F19" s="76" t="n">
        <v>0</v>
      </c>
      <c r="G19" s="60" t="inlineStr">
        <is>
          <t>Scientific Publication</t>
        </is>
      </c>
      <c r="H19" s="60" t="inlineStr">
        <is>
          <t>Nature</t>
        </is>
      </c>
      <c r="I19" s="60" t="inlineStr">
        <is>
          <t>AIを使って数分でグラフィカルアブストラクトを作成する方法</t>
        </is>
      </c>
      <c r="J19" s="60" t="inlineStr">
        <is>
          <t>人工知能は、グラフィックデザインの経験がない人々にとって民主化の力となる。</t>
        </is>
      </c>
      <c r="K19" s="60" t="inlineStr">
        <is>
          <t>https://www.nature.com/articles/d41586-026-02072-9</t>
        </is>
      </c>
      <c r="L19" s="60" t="inlineStr">
        <is>
          <t>b2a4fe860295587fbfbde689</t>
        </is>
      </c>
      <c r="M19" s="75" t="inlineStr">
        <is>
          <t>2026-07-22T09:00:00+09:00</t>
        </is>
      </c>
      <c r="N19" s="60" t="inlineStr">
        <is>
          <t>New</t>
        </is>
      </c>
      <c r="O19" s="60" t="inlineStr">
        <is>
          <t>枠: Technology Innovation / 学術区分: News &amp; Official Release / 焦点: AIを用いたグラフィカルアブストラクトの作成</t>
        </is>
      </c>
    </row>
    <row r="20" ht="42" customHeight="1">
      <c r="A20" s="75" t="inlineStr">
        <is>
          <t>2026-07-26T21:02:36+09:00</t>
        </is>
      </c>
      <c r="B20" s="75" t="inlineStr">
        <is>
          <t>2026-07-22T00:00:00Z</t>
        </is>
      </c>
      <c r="C20" s="60" t="inlineStr">
        <is>
          <t>Global</t>
        </is>
      </c>
      <c r="D20" s="60" t="inlineStr">
        <is>
          <t>Global</t>
        </is>
      </c>
      <c r="E20" s="60" t="inlineStr">
        <is>
          <t>Artificial Intelligence</t>
        </is>
      </c>
      <c r="F20" s="76" t="n">
        <v>0</v>
      </c>
      <c r="G20" s="60" t="inlineStr">
        <is>
          <t>Scientific Publication</t>
        </is>
      </c>
      <c r="H20" s="60" t="inlineStr">
        <is>
          <t>Nature</t>
        </is>
      </c>
      <c r="I20" s="60" t="inlineStr">
        <is>
          <t>「良いデザインには熟練が必要」：科学的イラストレーターがAIの未来を描く</t>
        </is>
      </c>
      <c r="J20" s="60" t="inlineStr">
        <is>
          <t>Natureが5人のアーティストに科学を視覚的に伝えるアプローチについてインタビューした。</t>
        </is>
      </c>
      <c r="K20" s="60" t="inlineStr">
        <is>
          <t>https://www.nature.com/articles/d41586-026-02230-z</t>
        </is>
      </c>
      <c r="L20" s="60" t="inlineStr">
        <is>
          <t>108461ddd7bd10edd9652aef</t>
        </is>
      </c>
      <c r="M20" s="75" t="inlineStr">
        <is>
          <t>2026-07-22T09:00:00+09:00</t>
        </is>
      </c>
      <c r="N20" s="60" t="inlineStr">
        <is>
          <t>New</t>
        </is>
      </c>
      <c r="O20" s="60" t="inlineStr">
        <is>
          <t>枠: Technology Innovation / 学術区分: News &amp; Official Release / 焦点: 科学的イラストレーションにおけるAIの未来</t>
        </is>
      </c>
    </row>
    <row r="21" ht="42" customHeight="1">
      <c r="A21" s="75" t="inlineStr">
        <is>
          <t>2026-07-26T21:02:36+09:00</t>
        </is>
      </c>
      <c r="B21" s="75" t="inlineStr">
        <is>
          <t>2026-07-22T00:00:00Z</t>
        </is>
      </c>
      <c r="C21" s="60" t="inlineStr">
        <is>
          <t>Global</t>
        </is>
      </c>
      <c r="D21" s="60" t="inlineStr">
        <is>
          <t>Global</t>
        </is>
      </c>
      <c r="E21" s="60" t="inlineStr">
        <is>
          <t>Biotechnology | Artificial Intelligence</t>
        </is>
      </c>
      <c r="F21" s="76" t="n">
        <v>0</v>
      </c>
      <c r="G21" s="60" t="inlineStr">
        <is>
          <t>Scientific Publication</t>
        </is>
      </c>
      <c r="H21" s="60" t="inlineStr">
        <is>
          <t>Nature</t>
        </is>
      </c>
      <c r="I21" s="60" t="inlineStr">
        <is>
          <t>AIがCRISPR複合体の相互作用を特定し、DNA編集の特異性を向上させる</t>
        </is>
      </c>
      <c r="J21" s="60" t="inlineStr">
        <is>
          <t>AlphaFold3による分子接触の予測が、DNAターゲット配列に対する酵素の選択性を改善するために使用された。</t>
        </is>
      </c>
      <c r="K21" s="60" t="inlineStr">
        <is>
          <t>https://www.nature.com/articles/d41586-026-02042-1</t>
        </is>
      </c>
      <c r="L21" s="60" t="inlineStr">
        <is>
          <t>ab4fcaf4ee310e08612eba0d</t>
        </is>
      </c>
      <c r="M21" s="75" t="inlineStr">
        <is>
          <t>2026-07-22T09:00:00+09:00</t>
        </is>
      </c>
      <c r="N21" s="60" t="inlineStr">
        <is>
          <t>New</t>
        </is>
      </c>
      <c r="O21" s="60" t="inlineStr">
        <is>
          <t>枠: Technology Innovation / 学術区分: News &amp; Official Release / 焦点: CRISPR複合体における相互作用の特定</t>
        </is>
      </c>
    </row>
    <row r="22" ht="42" customHeight="1">
      <c r="A22" s="75" t="inlineStr">
        <is>
          <t>2026-07-26T21:02:36+09:00</t>
        </is>
      </c>
      <c r="B22" s="75" t="inlineStr">
        <is>
          <t>2026-07-22T00:00:00Z</t>
        </is>
      </c>
      <c r="C22" s="60" t="inlineStr">
        <is>
          <t>Global</t>
        </is>
      </c>
      <c r="D22" s="60" t="inlineStr">
        <is>
          <t>Global</t>
        </is>
      </c>
      <c r="E22" s="60" t="inlineStr">
        <is>
          <t>Biotechnology</t>
        </is>
      </c>
      <c r="F22" s="76" t="n">
        <v>0</v>
      </c>
      <c r="G22" s="60" t="inlineStr">
        <is>
          <t>Scientific Publication</t>
        </is>
      </c>
      <c r="H22" s="60" t="inlineStr">
        <is>
          <t>Nature</t>
        </is>
      </c>
      <c r="I22" s="60" t="inlineStr">
        <is>
          <t>背景遺伝子と新しい変異ががん進化を導く</t>
        </is>
      </c>
      <c r="J22" s="60" t="inlineStr">
        <is>
          <t>マウスでの腫瘍進化の再実行により、DNA損傷後のがんの発展が示された。</t>
        </is>
      </c>
      <c r="K22" s="60" t="inlineStr">
        <is>
          <t>https://www.nature.com/articles/d41586-026-02155-7</t>
        </is>
      </c>
      <c r="L22" s="60" t="inlineStr">
        <is>
          <t>74243d6e7e201860f4f79008</t>
        </is>
      </c>
      <c r="M22" s="75" t="inlineStr">
        <is>
          <t>2026-07-22T09:00:00+09:00</t>
        </is>
      </c>
      <c r="N22" s="60" t="inlineStr">
        <is>
          <t>New</t>
        </is>
      </c>
      <c r="O22" s="60" t="inlineStr">
        <is>
          <t>枠: Technology Innovation / 学術区分: News &amp; Official Release / 焦点: がん進化における背景遺伝子と新しい変異の相互作用</t>
        </is>
      </c>
    </row>
    <row r="23" ht="42" customHeight="1">
      <c r="A23" s="75" t="inlineStr">
        <is>
          <t>2026-07-26T21:02:36+09:00</t>
        </is>
      </c>
      <c r="B23" s="75" t="inlineStr">
        <is>
          <t>2026-07-22T00:00:00Z</t>
        </is>
      </c>
      <c r="C23" s="60" t="inlineStr">
        <is>
          <t>Global</t>
        </is>
      </c>
      <c r="D23" s="60" t="inlineStr">
        <is>
          <t>Global</t>
        </is>
      </c>
      <c r="E23" s="60" t="inlineStr">
        <is>
          <t>Artificial Intelligence</t>
        </is>
      </c>
      <c r="F23" s="76" t="n">
        <v>0</v>
      </c>
      <c r="G23" s="60" t="inlineStr">
        <is>
          <t>Scientific Publication</t>
        </is>
      </c>
      <c r="H23" s="60" t="inlineStr">
        <is>
          <t>Nature</t>
        </is>
      </c>
      <c r="I23" s="60" t="inlineStr">
        <is>
          <t>科学におけるAI画像のミスを避けるための3つのヒント</t>
        </is>
      </c>
      <c r="J23" s="60" t="inlineStr">
        <is>
          <t>AIツールはグラフィック作成に役立つが、エラーを引き起こす可能性がある。</t>
        </is>
      </c>
      <c r="K23" s="60" t="inlineStr">
        <is>
          <t>https://www.nature.com/articles/d41586-026-02233-w</t>
        </is>
      </c>
      <c r="L23" s="60" t="inlineStr">
        <is>
          <t>3333c16762502cf03b987a99</t>
        </is>
      </c>
      <c r="M23" s="75" t="inlineStr">
        <is>
          <t>2026-07-22T09:00:00+09:00</t>
        </is>
      </c>
      <c r="N23" s="60" t="inlineStr">
        <is>
          <t>New</t>
        </is>
      </c>
      <c r="O23" s="60" t="inlineStr">
        <is>
          <t>枠: Technology Innovation / 学術区分: News &amp; Official Release / 焦点: 科学におけるAI画像のミスを避けるためのヒント</t>
        </is>
      </c>
    </row>
    <row r="24" ht="42" customHeight="1">
      <c r="A24" s="75" t="inlineStr">
        <is>
          <t>2026-07-26T21:02:36+09:00</t>
        </is>
      </c>
      <c r="B24" s="75" t="inlineStr">
        <is>
          <t>2026-07-22T00:00:00Z</t>
        </is>
      </c>
      <c r="C24" s="60" t="inlineStr">
        <is>
          <t>Global</t>
        </is>
      </c>
      <c r="D24" s="60" t="inlineStr">
        <is>
          <t>Global</t>
        </is>
      </c>
      <c r="E24" s="60" t="inlineStr">
        <is>
          <t>Artificial Intelligence</t>
        </is>
      </c>
      <c r="F24" s="76" t="n">
        <v>0</v>
      </c>
      <c r="G24" s="60" t="inlineStr">
        <is>
          <t>Scientific Publication</t>
        </is>
      </c>
      <c r="H24" s="60" t="inlineStr">
        <is>
          <t>Nature</t>
        </is>
      </c>
      <c r="I24" s="60" t="inlineStr">
        <is>
          <t>日々のブリーフィング：世界はついにポリオを根絶できるか？</t>
        </is>
      </c>
      <c r="J24" s="60" t="inlineStr">
        <is>
          <t>一部の研究者は、現在の根絶戦略が時代遅れであると考えている。</t>
        </is>
      </c>
      <c r="K24" s="60" t="inlineStr">
        <is>
          <t>https://www.nature.com/articles/d41586-026-02302-0</t>
        </is>
      </c>
      <c r="L24" s="60" t="inlineStr">
        <is>
          <t>a6bb3e839151ea803a445830</t>
        </is>
      </c>
      <c r="M24" s="75" t="inlineStr">
        <is>
          <t>2026-07-22T09:00:00+09:00</t>
        </is>
      </c>
      <c r="N24" s="60" t="inlineStr">
        <is>
          <t>New</t>
        </is>
      </c>
      <c r="O24" s="60" t="inlineStr">
        <is>
          <t>枠: Technology Innovation / 学術区分: News &amp; Official Release / 焦点: ポリオ根絶に関する研究</t>
        </is>
      </c>
    </row>
    <row r="25" ht="42" customHeight="1">
      <c r="A25" s="75" t="inlineStr">
        <is>
          <t>2026-07-26T21:02:36+09:00</t>
        </is>
      </c>
      <c r="B25" s="75" t="inlineStr">
        <is>
          <t>2026-07-21T22:35:45Z</t>
        </is>
      </c>
      <c r="C25" s="60" t="inlineStr">
        <is>
          <t>Global</t>
        </is>
      </c>
      <c r="D25" s="60" t="inlineStr">
        <is>
          <t>United States</t>
        </is>
      </c>
      <c r="E25" s="60" t="inlineStr">
        <is>
          <t>Artificial Intelligence</t>
        </is>
      </c>
      <c r="F25" s="76" t="n">
        <v>0</v>
      </c>
      <c r="G25" s="60" t="inlineStr">
        <is>
          <t>Official Company</t>
        </is>
      </c>
      <c r="H25" s="60" t="inlineStr">
        <is>
          <t>NVIDIA Blog</t>
        </is>
      </c>
      <c r="I25" s="60" t="inlineStr">
        <is>
          <t>フォートワースにて：WistronがNVIDIA AIシステムを生産するための先進的製造工場を開設</t>
        </is>
      </c>
      <c r="J25" s="60" t="inlineStr">
        <is>
          <t>Wistronがテキサス州フォートワースに324,000平方フィートの製造施設を開設し、AIシステムのためのスーパーチップを生産する。</t>
        </is>
      </c>
      <c r="K25" s="60" t="inlineStr">
        <is>
          <t>https://blogs.nvidia.com/blog/wistron-manufacturing-texas/</t>
        </is>
      </c>
      <c r="L25" s="60" t="inlineStr">
        <is>
          <t>21f1e1f3e19b1a5bf0af3cb7</t>
        </is>
      </c>
      <c r="M25" s="75" t="inlineStr">
        <is>
          <t>2026-07-22T07:35:45+09:00</t>
        </is>
      </c>
      <c r="N25" s="60" t="inlineStr">
        <is>
          <t>New</t>
        </is>
      </c>
      <c r="O25" s="60" t="inlineStr">
        <is>
          <t>枠: Technology Innovation / 学術区分: News &amp; Official Release / 焦点: NVIDIA AIシステムの製造</t>
        </is>
      </c>
    </row>
    <row r="26" ht="42" customHeight="1">
      <c r="A26" s="75" t="inlineStr">
        <is>
          <t>2026-07-26T18:56:03+09:00</t>
        </is>
      </c>
      <c r="B26" s="75" t="inlineStr">
        <is>
          <t>2026-07-21T14:48:28Z</t>
        </is>
      </c>
      <c r="C26" s="60" t="inlineStr">
        <is>
          <t>EU &amp; Europe</t>
        </is>
      </c>
      <c r="D26" s="60" t="inlineStr">
        <is>
          <t>Global</t>
        </is>
      </c>
      <c r="E26" s="60" t="inlineStr">
        <is>
          <t>Fusion Energy</t>
        </is>
      </c>
      <c r="F26" s="76" t="n">
        <v>3</v>
      </c>
      <c r="G26" s="60" t="inlineStr">
        <is>
          <t>Industry Association</t>
        </is>
      </c>
      <c r="H26" s="60" t="inlineStr">
        <is>
          <t>Fusion Industry Association</t>
        </is>
      </c>
      <c r="I26" s="60" t="inlineStr">
        <is>
          <t>FIA、核融合のためのEU資金調達の道筋を示す</t>
        </is>
      </c>
      <c r="J26" s="60" t="inlineStr">
        <is>
          <t>Fusion Industry Associationが商業核融合エネルギーのためのEU資金調達のロードマップを発表。</t>
        </is>
      </c>
      <c r="K26" s="60" t="inlineStr">
        <is>
          <t>https://www.fusionindustryassociation.org/fia-outlines-eu-financing-pathway-for-fusion/?utm_source=rss&amp;utm_medium=rss&amp;utm_campaign=fia-outlines-eu-financing-pathway-for-fusion</t>
        </is>
      </c>
      <c r="L26" s="60" t="inlineStr">
        <is>
          <t>88af233d904d670250fa5a31</t>
        </is>
      </c>
      <c r="M26" s="75" t="inlineStr">
        <is>
          <t>2026-07-26T18:56:03+09:00</t>
        </is>
      </c>
      <c r="N26" s="60" t="inlineStr">
        <is>
          <t>New</t>
        </is>
      </c>
      <c r="O26" s="60" t="inlineStr">
        <is>
          <t>枠: Innovation Policy / 政策分野: R&amp;D Funding &amp; Tax Incentives / 学術区分: News &amp; Official Release / 焦点: EUの核融合エネルギー商業化に向けた資金調達</t>
        </is>
      </c>
    </row>
    <row r="27" ht="42" customHeight="1">
      <c r="A27" s="75" t="inlineStr">
        <is>
          <t>2026-07-26T21:02:36+09:00</t>
        </is>
      </c>
      <c r="B27" s="75" t="inlineStr">
        <is>
          <t>2026-07-21T00:00:00Z</t>
        </is>
      </c>
      <c r="C27" s="60" t="inlineStr">
        <is>
          <t>Global</t>
        </is>
      </c>
      <c r="D27" s="60" t="inlineStr">
        <is>
          <t>Global</t>
        </is>
      </c>
      <c r="E27" s="60" t="inlineStr">
        <is>
          <t>Artificial Intelligence | Quantum</t>
        </is>
      </c>
      <c r="F27" s="76" t="n">
        <v>0</v>
      </c>
      <c r="G27" s="60" t="inlineStr">
        <is>
          <t>Conference Paper</t>
        </is>
      </c>
      <c r="H27" s="60" t="inlineStr">
        <is>
          <t>OpenAlex Conference Papers</t>
        </is>
      </c>
      <c r="I27" s="60" t="inlineStr">
        <is>
          <t>心血管疾患リスク予測のための量子機械学習</t>
        </is>
      </c>
      <c r="J27" s="60" t="inlineStr">
        <is>
          <t>量子コンピュータを用いた心血管疾患リスク予測に関する研究が進められている。</t>
        </is>
      </c>
      <c r="K27" s="60" t="inlineStr">
        <is>
          <t>https://doi.org/10.3390/engproc2026150039</t>
        </is>
      </c>
      <c r="L27" s="60" t="inlineStr">
        <is>
          <t>1cd467f8ebb1388daedc245f</t>
        </is>
      </c>
      <c r="M27" s="75" t="inlineStr">
        <is>
          <t>2026-07-21T09:00:00+09:00</t>
        </is>
      </c>
      <c r="N27" s="60" t="inlineStr">
        <is>
          <t>New</t>
        </is>
      </c>
      <c r="O27" s="60" t="inlineStr">
        <is>
          <t>枠: Technology Innovation / 学術区分: Conference Paper / 査読表示: Conference proceedings — review status varies / 焦点: 量子機械学習と心血管疾患リスク予測 / OpenAlex record; work type=conference-paper; citations=0</t>
        </is>
      </c>
    </row>
    <row r="28" ht="42" customHeight="1">
      <c r="A28" s="75" t="inlineStr">
        <is>
          <t>2026-07-26T21:02:36+09:00</t>
        </is>
      </c>
      <c r="B28" s="75" t="inlineStr">
        <is>
          <t>2026-07-20T15:00:53Z</t>
        </is>
      </c>
      <c r="C28" s="60" t="inlineStr">
        <is>
          <t>Global</t>
        </is>
      </c>
      <c r="D28" s="60" t="inlineStr">
        <is>
          <t>United States</t>
        </is>
      </c>
      <c r="E28" s="60" t="inlineStr">
        <is>
          <t>Artificial Intelligence | Robotics</t>
        </is>
      </c>
      <c r="F28" s="76" t="n">
        <v>0</v>
      </c>
      <c r="G28" s="60" t="inlineStr">
        <is>
          <t>Official Company</t>
        </is>
      </c>
      <c r="H28" s="60" t="inlineStr">
        <is>
          <t>NVIDIA Blog</t>
        </is>
      </c>
      <c r="I28" s="60" t="inlineStr">
        <is>
          <t>SIGGRAPHでNVIDIAがエージェントAIと物理AIでグラフィックスとシミュレーションを進展</t>
        </is>
      </c>
      <c r="J28" s="60" t="inlineStr">
        <is>
          <t>NVIDIAはSIGGRAPHで、オープンモデルからリアルタイムシミュレーションまで、AIとグラフィックスの革新がメディア、コンテンツ制作、ロボティクスを変革していることを発表した。</t>
        </is>
      </c>
      <c r="K28" s="60" t="inlineStr">
        <is>
          <t>https://blogs.nvidia.com/blog/siggraph-news-2026/</t>
        </is>
      </c>
      <c r="L28" s="60" t="inlineStr">
        <is>
          <t>70c1acaa81ba6cd1c84a673d</t>
        </is>
      </c>
      <c r="M28" s="75" t="inlineStr">
        <is>
          <t>2026-07-21T00:00:53+09:00</t>
        </is>
      </c>
      <c r="N28" s="60" t="inlineStr">
        <is>
          <t>New</t>
        </is>
      </c>
      <c r="O28" s="60" t="inlineStr">
        <is>
          <t>枠: Technology Innovation / 学術区分: News &amp; Official Release / 焦点: エージェントAIと物理AIの進展</t>
        </is>
      </c>
    </row>
    <row r="29" ht="42" customHeight="1">
      <c r="A29" s="75" t="inlineStr">
        <is>
          <t>2026-07-26T21:02:36+09:00</t>
        </is>
      </c>
      <c r="B29" s="75" t="inlineStr">
        <is>
          <t>2026-07-20T13:30:06Z</t>
        </is>
      </c>
      <c r="C29" s="60" t="inlineStr">
        <is>
          <t>Asia</t>
        </is>
      </c>
      <c r="D29" s="60" t="inlineStr">
        <is>
          <t>Hong Kong</t>
        </is>
      </c>
      <c r="E29" s="60" t="inlineStr">
        <is>
          <t>Artificial Intelligence | Semiconductors &amp; Telecom</t>
        </is>
      </c>
      <c r="F29" s="76" t="n">
        <v>1</v>
      </c>
      <c r="G29" s="60" t="inlineStr">
        <is>
          <t>Major Media</t>
        </is>
      </c>
      <c r="H29" s="60" t="inlineStr">
        <is>
          <t>South China Morning Post Technology</t>
        </is>
      </c>
      <c r="I29" s="60" t="inlineStr">
        <is>
          <t>トークン経済からタスク経済へ？SenseTimeがAIの商業化に賭ける</t>
        </is>
      </c>
      <c r="J29" s="60" t="inlineStr">
        <is>
          <t>中国のAI企業SenseTimeは、トークン価格の低下に伴い、AIの商業化が「トークン経済」から「タスク経済」へ移行する見込みであると述べた。</t>
        </is>
      </c>
      <c r="K29" s="60" t="inlineStr">
        <is>
          <t>https://www.scmp.com/tech/big-tech/article/3361242/no-longer-token-economy-sensetime-bets-task-economy-token-prices-set-drop?utm_source=rss_feed</t>
        </is>
      </c>
      <c r="L29" s="60" t="inlineStr">
        <is>
          <t>cd5b1ea310d8a65d00ad1ad9</t>
        </is>
      </c>
      <c r="M29" s="75" t="inlineStr">
        <is>
          <t>2026-07-20T22:30:06+09:00</t>
        </is>
      </c>
      <c r="N29" s="60" t="inlineStr">
        <is>
          <t>New</t>
        </is>
      </c>
      <c r="O29" s="60" t="inlineStr">
        <is>
          <t>枠: Technology Innovation | Innovation Policy / 政策分野: Patents &amp; Intellectual Property / 学術区分: News &amp; Official Release / 焦点: AIの商業化の移行</t>
        </is>
      </c>
    </row>
    <row r="30" ht="42" customHeight="1">
      <c r="A30" s="75" t="inlineStr">
        <is>
          <t>2026-07-26T21:02:36+09:00</t>
        </is>
      </c>
      <c r="B30" s="75" t="inlineStr">
        <is>
          <t>2026-07-20T10:59:23Z</t>
        </is>
      </c>
      <c r="C30" s="60" t="inlineStr">
        <is>
          <t>Global</t>
        </is>
      </c>
      <c r="D30" s="60" t="inlineStr">
        <is>
          <t>United States</t>
        </is>
      </c>
      <c r="E30" s="60" t="inlineStr">
        <is>
          <t>Artificial Intelligence</t>
        </is>
      </c>
      <c r="F30" s="76" t="n">
        <v>0</v>
      </c>
      <c r="G30" s="60" t="inlineStr">
        <is>
          <t>Official Company</t>
        </is>
      </c>
      <c r="H30" s="60" t="inlineStr">
        <is>
          <t>NVIDIA Blog</t>
        </is>
      </c>
      <c r="I30" s="60" t="inlineStr">
        <is>
          <t>Bristol Myers Squibbがライフサイエンス業界で最も先進的なAI工場を構築</t>
        </is>
      </c>
      <c r="J30" s="60" t="inlineStr">
        <is>
          <t>Bristol Myers Squibbは、ライフサイエンス分野でのAIクラスターを拡大し、成果を上げていることを発表した。</t>
        </is>
      </c>
      <c r="K30" s="60" t="inlineStr">
        <is>
          <t>https://blogs.nvidia.com/blog/bristol-myers-squibb-building-life-science-industrys-most-advanced-ai-factory-on-nvidia-vera-rubin/</t>
        </is>
      </c>
      <c r="L30" s="60" t="inlineStr">
        <is>
          <t>b4ddc90482832cbb50579f2a</t>
        </is>
      </c>
      <c r="M30" s="75" t="inlineStr">
        <is>
          <t>2026-07-20T19:59:23+09:00</t>
        </is>
      </c>
      <c r="N30" s="60" t="inlineStr">
        <is>
          <t>New</t>
        </is>
      </c>
      <c r="O30" s="60" t="inlineStr">
        <is>
          <t>枠: Technology Innovation / 学術区分: News &amp; Official Release / 焦点: AIクラスターの展開</t>
        </is>
      </c>
    </row>
    <row r="31" ht="42" customHeight="1">
      <c r="A31" s="75" t="inlineStr">
        <is>
          <t>2026-07-26T18:56:03+09:00</t>
        </is>
      </c>
      <c r="B31" s="75" t="inlineStr">
        <is>
          <t>2026-07-17T18:42:47Z</t>
        </is>
      </c>
      <c r="C31" s="60" t="inlineStr">
        <is>
          <t>EU &amp; Europe</t>
        </is>
      </c>
      <c r="D31" s="60" t="inlineStr">
        <is>
          <t>Global</t>
        </is>
      </c>
      <c r="E31" s="60" t="inlineStr">
        <is>
          <t>Fusion Energy</t>
        </is>
      </c>
      <c r="F31" s="76" t="n">
        <v>4</v>
      </c>
      <c r="G31" s="60" t="inlineStr">
        <is>
          <t>Industry Association</t>
        </is>
      </c>
      <c r="H31" s="60" t="inlineStr">
        <is>
          <t>Fusion Industry Association</t>
        </is>
      </c>
      <c r="I31" s="60" t="inlineStr">
        <is>
          <t>国際法専門家グループ、EUの核融合競争優位性確保の必要性に関する論文を発表</t>
        </is>
      </c>
      <c r="J31" s="60" t="inlineStr">
        <is>
          <t>国際法専門家グループがEUの核融合エネルギーに関する競争優位性を確保する必要性を論じた。</t>
        </is>
      </c>
      <c r="K3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31" s="60" t="inlineStr">
        <is>
          <t>7ef6110ab078602757409abf</t>
        </is>
      </c>
      <c r="M31" s="75" t="inlineStr">
        <is>
          <t>2026-07-26T18:56:03+09:00</t>
        </is>
      </c>
      <c r="N31" s="60" t="inlineStr">
        <is>
          <t>New</t>
        </is>
      </c>
      <c r="O31" s="60" t="inlineStr">
        <is>
          <t>枠: Innovation Policy / 政策分野: Regulation &amp; Governance / 学術区分: News &amp; Official Release / 焦点: EUの核融合エネルギーに関する規制とガバナンス</t>
        </is>
      </c>
    </row>
    <row r="32" ht="42" customHeight="1">
      <c r="A32" s="75" t="inlineStr">
        <is>
          <t>2026-07-26T21:02:36+09:00</t>
        </is>
      </c>
      <c r="B32" s="75" t="inlineStr">
        <is>
          <t>2026-07-17T15:00:03Z</t>
        </is>
      </c>
      <c r="C32" s="60" t="inlineStr">
        <is>
          <t>EU &amp; Europe</t>
        </is>
      </c>
      <c r="D32" s="60" t="inlineStr">
        <is>
          <t>United Kingdom</t>
        </is>
      </c>
      <c r="E32" s="60" t="inlineStr">
        <is>
          <t>Artificial Intelligence</t>
        </is>
      </c>
      <c r="F32" s="76" t="n">
        <v>3</v>
      </c>
      <c r="G32" s="60" t="inlineStr">
        <is>
          <t>Government</t>
        </is>
      </c>
      <c r="H32" s="60" t="inlineStr">
        <is>
          <t>UK DSIT</t>
        </is>
      </c>
      <c r="I32" s="60" t="inlineStr">
        <is>
          <t>AI研究資源に関するガイダンス</t>
        </is>
      </c>
      <c r="J32" s="60" t="inlineStr">
        <is>
          <t>AI研究資源（AIRR）は、研究者や産業にAI専門の計算能力を提供するスーパーコンピュータのスイートです。</t>
        </is>
      </c>
      <c r="K32" s="60" t="inlineStr">
        <is>
          <t>https://www.gov.uk/government/publications/ai-research-resource</t>
        </is>
      </c>
      <c r="L32" s="60" t="inlineStr">
        <is>
          <t>579a0b7ad2d471608fff5049</t>
        </is>
      </c>
      <c r="M32" s="75" t="inlineStr">
        <is>
          <t>2026-07-18T00:00:03+09:00</t>
        </is>
      </c>
      <c r="N32" s="60" t="inlineStr">
        <is>
          <t>New</t>
        </is>
      </c>
      <c r="O32" s="60" t="inlineStr">
        <is>
          <t>枠: Innovation Policy / 政策分野: National Programs &amp; Strategy / 学術区分: News &amp; Official Release / 焦点: AI研究資源（AIRR）</t>
        </is>
      </c>
    </row>
    <row r="33" ht="42" customHeight="1">
      <c r="A33" s="75" t="inlineStr">
        <is>
          <t>2026-07-26T21:45:54+09:00</t>
        </is>
      </c>
      <c r="B33" s="75" t="inlineStr">
        <is>
          <t>2026-07-17T14:48:00Z</t>
        </is>
      </c>
      <c r="C33" s="60" t="inlineStr">
        <is>
          <t>EU &amp; Europe</t>
        </is>
      </c>
      <c r="D33" s="60" t="inlineStr">
        <is>
          <t>European Patent Organisation</t>
        </is>
      </c>
      <c r="E33" s="60" t="inlineStr"/>
      <c r="F33" s="76" t="n">
        <v>3</v>
      </c>
      <c r="G33" s="60" t="inlineStr">
        <is>
          <t>Intergovernmental</t>
        </is>
      </c>
      <c r="H33" s="60" t="inlineStr">
        <is>
          <t>European Patent Office News</t>
        </is>
      </c>
      <c r="I33" s="60" t="inlineStr">
        <is>
          <t>技術革新を加速するための特許と標準</t>
        </is>
      </c>
      <c r="J33" s="60" t="inlineStr">
        <is>
          <t>特許と標準が技術革新を加速するための重要な要素であることについての情報。</t>
        </is>
      </c>
      <c r="K33" s="60" t="inlineStr">
        <is>
          <t>https://epo.org/en/about-us/observatory-patents-and-technology/policy-and-funding/patents-and-standards</t>
        </is>
      </c>
      <c r="L33" s="60" t="inlineStr">
        <is>
          <t>a0d096f59b7771ee7e91da7b</t>
        </is>
      </c>
      <c r="M33" s="75" t="inlineStr">
        <is>
          <t>2026-07-17T23:48:00+09:00</t>
        </is>
      </c>
      <c r="N33" s="60" t="inlineStr">
        <is>
          <t>New</t>
        </is>
      </c>
      <c r="O33" s="60" t="inlineStr">
        <is>
          <t>枠: Innovation Policy / 政策分野: Patents &amp; Intellectual Property / 学術区分: News &amp; Official Release / 焦点: 技術革新を加速するための特許と標準 / Historical backfill from an allowlisted source.</t>
        </is>
      </c>
    </row>
    <row r="34" ht="42" customHeight="1">
      <c r="A34" s="75" t="inlineStr">
        <is>
          <t>2026-07-26T21:02:36+09:00</t>
        </is>
      </c>
      <c r="B34" s="75" t="inlineStr">
        <is>
          <t>2026-07-17T13:42:16Z</t>
        </is>
      </c>
      <c r="C34" s="60" t="inlineStr">
        <is>
          <t>EU &amp; Europe</t>
        </is>
      </c>
      <c r="D34" s="60" t="inlineStr">
        <is>
          <t>United Kingdom</t>
        </is>
      </c>
      <c r="E34" s="60" t="inlineStr"/>
      <c r="F34" s="76" t="n">
        <v>3</v>
      </c>
      <c r="G34" s="60" t="inlineStr">
        <is>
          <t>Government</t>
        </is>
      </c>
      <c r="H34" s="60" t="inlineStr">
        <is>
          <t>UK DSIT</t>
        </is>
      </c>
      <c r="I34" s="60" t="inlineStr">
        <is>
          <t>デジタルサービスの改善に関する公開書簡</t>
        </is>
      </c>
      <c r="J34" s="60" t="inlineStr">
        <is>
          <t>業界リーダーに向けて、デジタルサービスの改善に関する公開書簡が送られた。</t>
        </is>
      </c>
      <c r="K34" s="60" t="inlineStr">
        <is>
          <t>https://www.gov.uk/government/publications/improving-access-to-and-use-of-digital-services-open-letter-to-business-leaders</t>
        </is>
      </c>
      <c r="L34" s="60" t="inlineStr">
        <is>
          <t>d136ac8a836994c6ce5e35c6</t>
        </is>
      </c>
      <c r="M34" s="75" t="inlineStr">
        <is>
          <t>2026-07-17T22:42:16+09:00</t>
        </is>
      </c>
      <c r="N34" s="60" t="inlineStr">
        <is>
          <t>New</t>
        </is>
      </c>
      <c r="O34" s="60" t="inlineStr">
        <is>
          <t>枠: Innovation Policy / 政策分野: National Programs &amp; Strategy / 学術区分: News &amp; Official Release / 焦点: デジタルサービスの改善</t>
        </is>
      </c>
    </row>
    <row r="35" ht="42" customHeight="1">
      <c r="A35" s="75" t="inlineStr">
        <is>
          <t>2026-07-26T21:02:36+09:00</t>
        </is>
      </c>
      <c r="B35" s="75" t="inlineStr">
        <is>
          <t>2026-07-17T12:00:04Z</t>
        </is>
      </c>
      <c r="C35" s="60" t="inlineStr">
        <is>
          <t>EU &amp; Europe</t>
        </is>
      </c>
      <c r="D35" s="60" t="inlineStr">
        <is>
          <t>United Kingdom</t>
        </is>
      </c>
      <c r="E35" s="60" t="inlineStr">
        <is>
          <t>Artificial Intelligence</t>
        </is>
      </c>
      <c r="F35" s="76" t="n">
        <v>3</v>
      </c>
      <c r="G35" s="60" t="inlineStr">
        <is>
          <t>Government</t>
        </is>
      </c>
      <c r="H35" s="60" t="inlineStr">
        <is>
          <t>UK DSIT</t>
        </is>
      </c>
      <c r="I35" s="60" t="inlineStr">
        <is>
          <t>AIスーパーコンピュータホストサイト選定に関する表明</t>
        </is>
      </c>
      <c r="J35" s="60" t="inlineStr">
        <is>
          <t>UKの次のAIスーパーコンピュータのホストサイト選定に関する表明が行われた。</t>
        </is>
      </c>
      <c r="K35" s="60" t="inlineStr">
        <is>
          <t>https://www.gov.uk/government/publications/expression-of-interest-airr-heterogeneous-supercomputer-host-site-selection</t>
        </is>
      </c>
      <c r="L35" s="60" t="inlineStr">
        <is>
          <t>27d607577c2759c8d53f9ddf</t>
        </is>
      </c>
      <c r="M35" s="75" t="inlineStr">
        <is>
          <t>2026-07-17T21:00:04+09:00</t>
        </is>
      </c>
      <c r="N35" s="60" t="inlineStr">
        <is>
          <t>New</t>
        </is>
      </c>
      <c r="O35" s="60" t="inlineStr">
        <is>
          <t>枠: Innovation Policy / 政策分野: National Programs &amp; Strategy / 学術区分: News &amp; Official Release / 焦点: AIスーパーコンピュータのホストサイト選定</t>
        </is>
      </c>
    </row>
    <row r="36" ht="42" customHeight="1">
      <c r="A36" s="75" t="inlineStr">
        <is>
          <t>2026-07-26T21:02:36+09:00</t>
        </is>
      </c>
      <c r="B36" s="75" t="inlineStr">
        <is>
          <t>2026-07-17T07:59:22Z</t>
        </is>
      </c>
      <c r="C36" s="60" t="inlineStr">
        <is>
          <t>EU &amp; Europe</t>
        </is>
      </c>
      <c r="D36" s="60" t="inlineStr">
        <is>
          <t>United Kingdom</t>
        </is>
      </c>
      <c r="E36" s="60" t="inlineStr"/>
      <c r="F36" s="76" t="n">
        <v>3</v>
      </c>
      <c r="G36" s="60" t="inlineStr">
        <is>
          <t>Government</t>
        </is>
      </c>
      <c r="H36" s="60" t="inlineStr">
        <is>
          <t>UK DSIT</t>
        </is>
      </c>
      <c r="I36" s="60" t="inlineStr">
        <is>
          <t>子供のオンライン保護に関する新ルール</t>
        </is>
      </c>
      <c r="J36" s="60" t="inlineStr">
        <is>
          <t>UK政府が16歳未満の子供に対するソーシャルメディア禁止を発表した。</t>
        </is>
      </c>
      <c r="K36" s="60" t="inlineStr">
        <is>
          <t>https://www.gov.uk/government/publications/fact-sheet-new-rules-to-protect-children-online</t>
        </is>
      </c>
      <c r="L36" s="60" t="inlineStr">
        <is>
          <t>371ff53aa8f9007fcb1ddddf</t>
        </is>
      </c>
      <c r="M36" s="75" t="inlineStr">
        <is>
          <t>2026-07-17T16:59:22+09:00</t>
        </is>
      </c>
      <c r="N36" s="60" t="inlineStr">
        <is>
          <t>New</t>
        </is>
      </c>
      <c r="O36" s="60" t="inlineStr">
        <is>
          <t>枠: Innovation Policy / 政策分野: National Programs &amp; Strategy / 学術区分: News &amp; Official Release / 焦点: 子供のオンライン保護に関する新ルール</t>
        </is>
      </c>
    </row>
    <row r="37" ht="42" customHeight="1">
      <c r="A37" s="75" t="inlineStr">
        <is>
          <t>2026-07-26T21:02:36+09:00</t>
        </is>
      </c>
      <c r="B37" s="75" t="inlineStr">
        <is>
          <t>2026-07-16T13:35:15Z</t>
        </is>
      </c>
      <c r="C37" s="60" t="inlineStr">
        <is>
          <t>United States</t>
        </is>
      </c>
      <c r="D37" s="60" t="inlineStr">
        <is>
          <t>United States</t>
        </is>
      </c>
      <c r="E37" s="60" t="inlineStr">
        <is>
          <t>Quantum</t>
        </is>
      </c>
      <c r="F37" s="76" t="n">
        <v>3</v>
      </c>
      <c r="G37" s="60" t="inlineStr">
        <is>
          <t>Government</t>
        </is>
      </c>
      <c r="H37" s="60" t="inlineStr">
        <is>
          <t>DOE Office of Science News</t>
        </is>
      </c>
      <c r="I37" s="60" t="inlineStr">
        <is>
          <t>ノイズを消す：DOEが次世代量子情報科学を支える国内シリコンとゲルマニウムイソトープ供給のブレークスルーを発表</t>
        </is>
      </c>
      <c r="J37" s="60" t="inlineStr">
        <is>
          <t>DOEが、次世代量子情報科学を加速するために、商業ソースよりも100倍以上の純度を持つイソトープを生産する成果を発表した。</t>
        </is>
      </c>
      <c r="K37" s="60" t="inlineStr">
        <is>
          <t>https://www.energy.gov/science/articles/silencing-noise-doe-unveils-breakthrough-domestic-silicon-and-germanium-isotope</t>
        </is>
      </c>
      <c r="L37" s="60" t="inlineStr">
        <is>
          <t>17ffa424cf814d722a951c64</t>
        </is>
      </c>
      <c r="M37" s="75" t="inlineStr">
        <is>
          <t>2026-07-16T22:35:15+09:00</t>
        </is>
      </c>
      <c r="N37" s="60" t="inlineStr">
        <is>
          <t>New</t>
        </is>
      </c>
      <c r="O37" s="60" t="inlineStr">
        <is>
          <t>枠: Technology Innovation | Innovation Policy / 政策分野: National Programs &amp; Strategy / 学術区分: News &amp; Official Release / 焦点: 量子情報科学におけるイソトープ供給</t>
        </is>
      </c>
    </row>
    <row r="38" ht="42" customHeight="1">
      <c r="A38" s="75" t="inlineStr">
        <is>
          <t>2026-07-26T21:02:36+09:00</t>
        </is>
      </c>
      <c r="B38" s="75" t="inlineStr">
        <is>
          <t>2026-07-15T23:00:54Z</t>
        </is>
      </c>
      <c r="C38" s="60" t="inlineStr">
        <is>
          <t>Global</t>
        </is>
      </c>
      <c r="D38" s="60" t="inlineStr">
        <is>
          <t>United States</t>
        </is>
      </c>
      <c r="E38" s="60" t="inlineStr">
        <is>
          <t>Artificial Intelligence | Robotics</t>
        </is>
      </c>
      <c r="F38" s="76" t="n">
        <v>0</v>
      </c>
      <c r="G38" s="60" t="inlineStr">
        <is>
          <t>Official Company</t>
        </is>
      </c>
      <c r="H38" s="60" t="inlineStr">
        <is>
          <t>NVIDIA Blog</t>
        </is>
      </c>
      <c r="I38" s="60" t="inlineStr">
        <is>
          <t>NVIDIAがロボティクスとエッジAIを進展させる新しいJetson Thorコンピュータを発表</t>
        </is>
      </c>
      <c r="J38" s="60" t="inlineStr">
        <is>
          <t>NVIDIAが新しいJetson Thorコンピュータを発表し、一般向けロボットとエッジAIの需要に応える。</t>
        </is>
      </c>
      <c r="K38" s="60" t="inlineStr">
        <is>
          <t>https://blogs.nvidia.com/blog/jetson-thor-robotics-edge-ai-agent/</t>
        </is>
      </c>
      <c r="L38" s="60" t="inlineStr">
        <is>
          <t>85f482f3f904d00f68946a80</t>
        </is>
      </c>
      <c r="M38" s="75" t="inlineStr">
        <is>
          <t>2026-07-16T08:00:54+09:00</t>
        </is>
      </c>
      <c r="N38" s="60" t="inlineStr">
        <is>
          <t>New</t>
        </is>
      </c>
      <c r="O38" s="60" t="inlineStr">
        <is>
          <t>枠: Technology Innovation / 学術区分: News &amp; Official Release / 焦点: AIスーパコンピュータモジュール</t>
        </is>
      </c>
    </row>
    <row r="39" ht="42" customHeight="1">
      <c r="A39" s="75" t="inlineStr">
        <is>
          <t>2026-07-26T21:02:36+09:00</t>
        </is>
      </c>
      <c r="B39" s="75" t="inlineStr">
        <is>
          <t>2026-07-15T10:00:00Z</t>
        </is>
      </c>
      <c r="C39" s="60" t="inlineStr">
        <is>
          <t>Global</t>
        </is>
      </c>
      <c r="D39" s="60" t="inlineStr">
        <is>
          <t>United States</t>
        </is>
      </c>
      <c r="E39" s="60" t="inlineStr">
        <is>
          <t>Healthcare | Artificial Intelligence</t>
        </is>
      </c>
      <c r="F39" s="76" t="n">
        <v>1</v>
      </c>
      <c r="G39" s="60" t="inlineStr">
        <is>
          <t>Official Company</t>
        </is>
      </c>
      <c r="H39" s="60" t="inlineStr">
        <is>
          <t>OpenAI News</t>
        </is>
      </c>
      <c r="I39" s="60" t="inlineStr">
        <is>
          <t>Penda HealthとのAI臨床コパイロットの開発</t>
        </is>
      </c>
      <c r="J39" s="60" t="inlineStr">
        <is>
          <t>OpenAIとPenda Healthが共同でAI臨床コパイロットを発表し、実際の使用で診断エラーを16%削減した。</t>
        </is>
      </c>
      <c r="K39" s="60" t="inlineStr">
        <is>
          <t>https://openai.com/index/ai-clinical-copilot-penda-health</t>
        </is>
      </c>
      <c r="L39" s="60" t="inlineStr">
        <is>
          <t>85bbe066139c673fbb76100c</t>
        </is>
      </c>
      <c r="M39" s="75" t="inlineStr">
        <is>
          <t>2026-07-15T19:00:00+09:00</t>
        </is>
      </c>
      <c r="N39" s="60" t="inlineStr">
        <is>
          <t>New</t>
        </is>
      </c>
      <c r="O39" s="60" t="inlineStr">
        <is>
          <t>枠: Technology Innovation / 学術区分: News &amp; Official Release / 焦点: AI臨床コパイロット / Historical backfill from an allowlisted source.</t>
        </is>
      </c>
    </row>
    <row r="40" ht="42" customHeight="1">
      <c r="A40" s="75" t="inlineStr">
        <is>
          <t>2026-07-26T21:02:36+09:00</t>
        </is>
      </c>
      <c r="B40" s="75" t="inlineStr">
        <is>
          <t>2026-07-14T16:00:08Z</t>
        </is>
      </c>
      <c r="C40" s="60" t="inlineStr">
        <is>
          <t>United States</t>
        </is>
      </c>
      <c r="D40" s="60" t="inlineStr">
        <is>
          <t>United States</t>
        </is>
      </c>
      <c r="E40" s="60" t="inlineStr"/>
      <c r="F40" s="76" t="n">
        <v>3</v>
      </c>
      <c r="G40" s="60" t="inlineStr">
        <is>
          <t>Government</t>
        </is>
      </c>
      <c r="H40" s="60" t="inlineStr">
        <is>
          <t>National Science Foundation News</t>
        </is>
      </c>
      <c r="I40" s="60" t="inlineStr">
        <is>
          <t>NSFが全国の研究、雇用、経済成長を促進するために12の新しい地域イノベーションエンジンを授与</t>
        </is>
      </c>
      <c r="J40" s="60" t="inlineStr">
        <is>
          <t>米国科学財団は、全国の20州にわたる12のチームに新しいNSF地域イノベーションエンジンの助成を発表した。これにより、イノベーションクラスターの構築とスケールアップを目指す。</t>
        </is>
      </c>
      <c r="K40" s="60" t="inlineStr">
        <is>
          <t>https://www.nsf.gov/news/nsf-awards-12-new-regional-innovation-engines-fuel-research</t>
        </is>
      </c>
      <c r="L40" s="60" t="inlineStr">
        <is>
          <t>de4a8c6972dcbf82c2e445b3</t>
        </is>
      </c>
      <c r="M40" s="75" t="inlineStr">
        <is>
          <t>2026-07-15T01:00:08+09:00</t>
        </is>
      </c>
      <c r="N40" s="60" t="inlineStr">
        <is>
          <t>New</t>
        </is>
      </c>
      <c r="O40" s="60" t="inlineStr">
        <is>
          <t>枠: Innovation Policy / 政策分野: National Programs &amp; Strategy / 学術区分: News &amp; Official Release / 焦点: 地域イノベーションエンジン</t>
        </is>
      </c>
    </row>
    <row r="41" ht="42" customHeight="1">
      <c r="A41" s="75" t="inlineStr">
        <is>
          <t>2026-07-26T21:02:36+09:00</t>
        </is>
      </c>
      <c r="B41" s="75" t="inlineStr">
        <is>
          <t>2026-07-10T00:00:00Z</t>
        </is>
      </c>
      <c r="C41" s="60" t="inlineStr">
        <is>
          <t>Global</t>
        </is>
      </c>
      <c r="D41" s="60" t="inlineStr">
        <is>
          <t>Global</t>
        </is>
      </c>
      <c r="E41" s="60" t="inlineStr">
        <is>
          <t>Fusion Energy</t>
        </is>
      </c>
      <c r="F41" s="76" t="n">
        <v>0</v>
      </c>
      <c r="G41" s="60" t="inlineStr">
        <is>
          <t>Journal Article</t>
        </is>
      </c>
      <c r="H41" s="60" t="inlineStr">
        <is>
          <t>Nuclear Fusion</t>
        </is>
      </c>
      <c r="I41" s="60" t="inlineStr">
        <is>
          <t>ST-E1核融合発電プラントのための統合物理と磁石設計</t>
        </is>
      </c>
      <c r="J41" s="60" t="inlineStr">
        <is>
          <t>ST-E1核融合発電プラントにおける超伝導材料やトカマクの物理に関する研究が紹介されている。</t>
        </is>
      </c>
      <c r="K41" s="60" t="inlineStr">
        <is>
          <t>https://doi.org/10.1088/1741-4326/ae773b</t>
        </is>
      </c>
      <c r="L41" s="60" t="inlineStr">
        <is>
          <t>a0ed06f7d374240814073762</t>
        </is>
      </c>
      <c r="M41" s="75" t="inlineStr">
        <is>
          <t>2026-07-10T09:00:00+09:00</t>
        </is>
      </c>
      <c r="N41" s="60" t="inlineStr">
        <is>
          <t>New</t>
        </is>
      </c>
      <c r="O41" s="60" t="inlineStr">
        <is>
          <t>枠: Technology Innovation / 学術区分: Journal Article / 査読表示: Journal record — confirm peer review on publisher page / 掲載誌・学会: Nuclear Fusion / 焦点: 核融合発電プラントの物理と磁石設計 / OpenAlex record; work type=article; citations=9</t>
        </is>
      </c>
    </row>
    <row r="42" ht="42" customHeight="1">
      <c r="A42" s="75" t="inlineStr">
        <is>
          <t>2026-07-26T21:02:36+09:00</t>
        </is>
      </c>
      <c r="B42" s="75" t="inlineStr">
        <is>
          <t>2026-07-08T08:00:00Z</t>
        </is>
      </c>
      <c r="C42" s="60" t="inlineStr">
        <is>
          <t>Asia</t>
        </is>
      </c>
      <c r="D42" s="60" t="inlineStr">
        <is>
          <t>South Korea</t>
        </is>
      </c>
      <c r="E42" s="60" t="inlineStr">
        <is>
          <t>Artificial Intelligence</t>
        </is>
      </c>
      <c r="F42" s="76" t="n">
        <v>0</v>
      </c>
      <c r="G42" s="60" t="inlineStr">
        <is>
          <t>Official Company</t>
        </is>
      </c>
      <c r="H42" s="60" t="inlineStr">
        <is>
          <t>Samsung Global Newsroom</t>
        </is>
      </c>
      <c r="I42" s="60" t="inlineStr">
        <is>
          <t>サムスン、次世代AIインフラ向けに最適化されたPM1763 SSDの量産を開始</t>
        </is>
      </c>
      <c r="J42" s="60" t="inlineStr">
        <is>
          <t>サムスン電子は、次世代AIおよびHPCサーバー環境向けに最適化されたPCIe® 6.0ベースの企業向けSSD、PM1763の量産を開始した。</t>
        </is>
      </c>
      <c r="K42" s="60" t="inlineStr">
        <is>
          <t>https://news.samsung.com/global/samsung-begins-mass-production-of-pm1763-ssd-optimized-for-next-generation-ai-infrastructure</t>
        </is>
      </c>
      <c r="L42" s="60" t="inlineStr">
        <is>
          <t>ffa2f59ee7918b4bbfdce082</t>
        </is>
      </c>
      <c r="M42" s="75" t="inlineStr">
        <is>
          <t>2026-07-08T17:00:00+09:00</t>
        </is>
      </c>
      <c r="N42" s="60" t="inlineStr">
        <is>
          <t>New</t>
        </is>
      </c>
      <c r="O42" s="60" t="inlineStr">
        <is>
          <t>枠: Technology Innovation / 学術区分: News &amp; Official Release / 焦点: PM1763 SSD</t>
        </is>
      </c>
    </row>
    <row r="43" ht="42" customHeight="1">
      <c r="A43" s="75" t="inlineStr">
        <is>
          <t>2026-07-26T21:02:36+09:00</t>
        </is>
      </c>
      <c r="B43" s="75" t="inlineStr">
        <is>
          <t>2026-07-07T18:00:07Z</t>
        </is>
      </c>
      <c r="C43" s="60" t="inlineStr">
        <is>
          <t>United States</t>
        </is>
      </c>
      <c r="D43" s="60" t="inlineStr">
        <is>
          <t>United States</t>
        </is>
      </c>
      <c r="E43" s="60" t="inlineStr">
        <is>
          <t>Quantum</t>
        </is>
      </c>
      <c r="F43" s="76" t="n">
        <v>4</v>
      </c>
      <c r="G43" s="60" t="inlineStr">
        <is>
          <t>Government</t>
        </is>
      </c>
      <c r="H43" s="60" t="inlineStr">
        <is>
          <t>National Science Foundation News</t>
        </is>
      </c>
      <c r="I43" s="60" t="inlineStr">
        <is>
          <t>NSF、実用的な量子技術を進展させるProject Triadを開始</t>
        </is>
      </c>
      <c r="J43" s="60" t="inlineStr">
        <is>
          <t>米国国立科学財団が量子技術を統合する新たなイニシアティブ、Project Triadを発表した。</t>
        </is>
      </c>
      <c r="K43" s="60" t="inlineStr">
        <is>
          <t>https://www.nsf.gov/news/nsf-launches-project-triad-advance-quantum-technology-real</t>
        </is>
      </c>
      <c r="L43" s="60" t="inlineStr">
        <is>
          <t>2d4a226d3ce7cc9e366e902d</t>
        </is>
      </c>
      <c r="M43" s="75" t="inlineStr">
        <is>
          <t>2026-07-08T03:00:07+09:00</t>
        </is>
      </c>
      <c r="N43" s="60" t="inlineStr">
        <is>
          <t>New</t>
        </is>
      </c>
      <c r="O43" s="60" t="inlineStr">
        <is>
          <t>枠: Innovation Policy / 政策分野: National Programs &amp; Strategy / 学術区分: News &amp; Official Release / 焦点: Project Triad</t>
        </is>
      </c>
    </row>
    <row r="44" ht="42" customHeight="1">
      <c r="A44" s="75" t="inlineStr">
        <is>
          <t>2026-07-26T21:45:54+09:00</t>
        </is>
      </c>
      <c r="B44" s="75" t="inlineStr">
        <is>
          <t>2026-06-30T00:00:00Z</t>
        </is>
      </c>
      <c r="C44" s="60" t="inlineStr">
        <is>
          <t>Global</t>
        </is>
      </c>
      <c r="D44" s="60" t="inlineStr">
        <is>
          <t>Global</t>
        </is>
      </c>
      <c r="E44" s="60" t="inlineStr">
        <is>
          <t>Robotics</t>
        </is>
      </c>
      <c r="F44" s="76" t="n">
        <v>0</v>
      </c>
      <c r="G44" s="60" t="inlineStr">
        <is>
          <t>Preprint</t>
        </is>
      </c>
      <c r="H44" s="60" t="inlineStr">
        <is>
          <t>arXiv (Cornell University)</t>
        </is>
      </c>
      <c r="I44" s="60" t="inlineStr">
        <is>
          <t>CoDex: デモなしでの機能的操作の学習</t>
        </is>
      </c>
      <c r="J44" s="60" t="inlineStr">
        <is>
          <t>デモなしで機能的操作を学習するための新しいアプローチが提案されている。</t>
        </is>
      </c>
      <c r="K44" s="60" t="inlineStr">
        <is>
          <t>https://openalex.org/W7167154222</t>
        </is>
      </c>
      <c r="L44" s="60" t="inlineStr">
        <is>
          <t>35d402b402a9608c13756e83</t>
        </is>
      </c>
      <c r="M44" s="75" t="inlineStr">
        <is>
          <t>2026-06-30T09:00:00+09:00</t>
        </is>
      </c>
      <c r="N44" s="60" t="inlineStr">
        <is>
          <t>New</t>
        </is>
      </c>
      <c r="O44" s="60" t="inlineStr">
        <is>
          <t>枠: Technology Innovation / 学術区分: Preprint / 査読表示: Not peer reviewed / 掲載誌・学会: arXiv (Cornell University) / 焦点: ロボット操作と学習に関する研究 / OpenAlex record; work type=preprint; citations=0</t>
        </is>
      </c>
    </row>
    <row r="45" ht="42" customHeight="1">
      <c r="A45" s="75" t="inlineStr">
        <is>
          <t>2026-07-26T21:02:36+09:00</t>
        </is>
      </c>
      <c r="B45" s="75" t="inlineStr">
        <is>
          <t>2026-06-29T21:14:22Z</t>
        </is>
      </c>
      <c r="C45" s="60" t="inlineStr">
        <is>
          <t>Global</t>
        </is>
      </c>
      <c r="D45" s="60" t="inlineStr">
        <is>
          <t>United States</t>
        </is>
      </c>
      <c r="E45" s="60" t="inlineStr">
        <is>
          <t>Artificial Intelligence</t>
        </is>
      </c>
      <c r="F45" s="76" t="n">
        <v>0</v>
      </c>
      <c r="G45" s="60" t="inlineStr">
        <is>
          <t>Official Company</t>
        </is>
      </c>
      <c r="H45" s="60" t="inlineStr">
        <is>
          <t>Microsoft Research</t>
        </is>
      </c>
      <c r="I45" s="60" t="inlineStr">
        <is>
          <t>Memora: 抽象と特異性のバランスを取る調和的メモリ表現</t>
        </is>
      </c>
      <c r="J45" s="60" t="inlineStr">
        <is>
          <t>AIエージェントが過去の会話を記憶できない問題を解決するために、Memoraがスケーラブルなメモリシステムを提案した。</t>
        </is>
      </c>
      <c r="K45" s="60" t="inlineStr">
        <is>
          <t>https://www.microsoft.com/en-us/research/blog/memora-a-harmonic-memory-representation-balancing-abstraction-and-specificity/</t>
        </is>
      </c>
      <c r="L45" s="60" t="inlineStr">
        <is>
          <t>6c035ef4d4202a4874e60b97</t>
        </is>
      </c>
      <c r="M45" s="75" t="inlineStr">
        <is>
          <t>2026-06-30T06:14:22+09:00</t>
        </is>
      </c>
      <c r="N45" s="60" t="inlineStr">
        <is>
          <t>New</t>
        </is>
      </c>
      <c r="O45" s="60" t="inlineStr">
        <is>
          <t>枠: Technology Innovation / 学術区分: News &amp; Official Release / 焦点: AIメモリシステム</t>
        </is>
      </c>
    </row>
    <row r="46" ht="42" customHeight="1">
      <c r="A46" s="75" t="inlineStr">
        <is>
          <t>2026-07-26T21:45:54+09:00</t>
        </is>
      </c>
      <c r="B46" s="75" t="inlineStr">
        <is>
          <t>2026-06-29T00:00:00Z</t>
        </is>
      </c>
      <c r="C46" s="60" t="inlineStr">
        <is>
          <t>Global</t>
        </is>
      </c>
      <c r="D46" s="60" t="inlineStr">
        <is>
          <t>Global</t>
        </is>
      </c>
      <c r="E46" s="60" t="inlineStr">
        <is>
          <t>Fusion Energy</t>
        </is>
      </c>
      <c r="F46" s="76" t="n">
        <v>0</v>
      </c>
      <c r="G46" s="60" t="inlineStr">
        <is>
          <t>Preprint</t>
        </is>
      </c>
      <c r="H46" s="60" t="inlineStr">
        <is>
          <t>arXiv (Cornell University)</t>
        </is>
      </c>
      <c r="I46" s="60" t="inlineStr">
        <is>
          <t>トロイダル中性流を利用したダイバータ粒子排出の強化</t>
        </is>
      </c>
      <c r="J46" s="60" t="inlineStr">
        <is>
          <t>核融合研究におけるトロイダル中性流の利用に関する研究が発表された。</t>
        </is>
      </c>
      <c r="K46" s="60" t="inlineStr">
        <is>
          <t>https://openalex.org/W7166900160</t>
        </is>
      </c>
      <c r="L46" s="60" t="inlineStr">
        <is>
          <t>c0f8dfb2d641935c085b9cd5</t>
        </is>
      </c>
      <c r="M46" s="75" t="inlineStr">
        <is>
          <t>2026-06-29T09:00:00+09:00</t>
        </is>
      </c>
      <c r="N46" s="60" t="inlineStr">
        <is>
          <t>New</t>
        </is>
      </c>
      <c r="O46" s="60" t="inlineStr">
        <is>
          <t>枠: Technology Innovation / 学術区分: Preprint / 査読表示: Not peer reviewed / 掲載誌・学会: arXiv (Cornell University) / 焦点: 核融合材料と技術 / OpenAlex record; work type=preprint; citations=0</t>
        </is>
      </c>
    </row>
    <row r="47" ht="42" customHeight="1">
      <c r="A47" s="75" t="inlineStr">
        <is>
          <t>2026-07-26T21:45:54+09:00</t>
        </is>
      </c>
      <c r="B47" s="75" t="inlineStr">
        <is>
          <t>2026-06-29T00:00:00Z</t>
        </is>
      </c>
      <c r="C47" s="60" t="inlineStr">
        <is>
          <t>Global</t>
        </is>
      </c>
      <c r="D47" s="60" t="inlineStr">
        <is>
          <t>Global</t>
        </is>
      </c>
      <c r="E47" s="60" t="inlineStr">
        <is>
          <t>Fusion Energy | Quantum</t>
        </is>
      </c>
      <c r="F47" s="76" t="n">
        <v>0</v>
      </c>
      <c r="G47" s="60" t="inlineStr">
        <is>
          <t>Preprint</t>
        </is>
      </c>
      <c r="H47" s="60" t="inlineStr">
        <is>
          <t>arXiv (Cornell University)</t>
        </is>
      </c>
      <c r="I47" s="60" t="inlineStr">
        <is>
          <t>核融合ブランケット溶融塩における量子計算</t>
        </is>
      </c>
      <c r="J47" s="60" t="inlineStr">
        <is>
          <t>核融合ブランケットに関連する量子計算に関する研究が発表された。</t>
        </is>
      </c>
      <c r="K47" s="60" t="inlineStr">
        <is>
          <t>https://openalex.org/W7166900467</t>
        </is>
      </c>
      <c r="L47" s="60" t="inlineStr">
        <is>
          <t>a13bde138787eb63bed73f80</t>
        </is>
      </c>
      <c r="M47" s="75" t="inlineStr">
        <is>
          <t>2026-06-29T09:00:00+09:00</t>
        </is>
      </c>
      <c r="N47" s="60" t="inlineStr">
        <is>
          <t>New</t>
        </is>
      </c>
      <c r="O47" s="60" t="inlineStr">
        <is>
          <t>枠: Technology Innovation / 学術区分: Preprint / 査読表示: Not peer reviewed / 掲載誌・学会: arXiv (Cornell University) / 焦点: 核融合ブランケットと量子計算 / OpenAlex record; work type=preprint; citations=0</t>
        </is>
      </c>
    </row>
    <row r="48" ht="42" customHeight="1">
      <c r="A48" s="75" t="inlineStr">
        <is>
          <t>2026-07-26T21:02:36+09:00</t>
        </is>
      </c>
      <c r="B48" s="75" t="inlineStr">
        <is>
          <t>2026-06-26T04:47:39Z</t>
        </is>
      </c>
      <c r="C48" s="60" t="inlineStr">
        <is>
          <t>United States</t>
        </is>
      </c>
      <c r="D48" s="60" t="inlineStr">
        <is>
          <t>Japan</t>
        </is>
      </c>
      <c r="E48" s="60" t="inlineStr"/>
      <c r="F48" s="76" t="n">
        <v>4</v>
      </c>
      <c r="G48" s="60" t="inlineStr">
        <is>
          <t>Government</t>
        </is>
      </c>
      <c r="H48" s="60" t="inlineStr">
        <is>
          <t>NISTEP Updates</t>
        </is>
      </c>
      <c r="I48" s="60" t="inlineStr">
        <is>
          <t>研究文化をめぐる対話と展開に関する資料公開</t>
        </is>
      </c>
      <c r="J48" s="60" t="inlineStr">
        <is>
          <t>文部科学省が研究者対象のウェルビーイングと研究文化に関する全国調査の準備を進めています。</t>
        </is>
      </c>
      <c r="K48" s="60" t="inlineStr">
        <is>
          <t>https://www.nistep.go.jp/archives/63398/</t>
        </is>
      </c>
      <c r="L48" s="60" t="inlineStr">
        <is>
          <t>ff67a3172cc526b012791921</t>
        </is>
      </c>
      <c r="M48" s="75" t="inlineStr">
        <is>
          <t>2026-06-26T13:47:39+09:00</t>
        </is>
      </c>
      <c r="N48" s="60" t="inlineStr">
        <is>
          <t>New</t>
        </is>
      </c>
      <c r="O48" s="60" t="inlineStr">
        <is>
          <t>枠: Innovation Policy / 政策分野: National Programs &amp; Strategy / 学術区分: News &amp; Official Release / 焦点: 研究者のウェルビーイングと研究文化</t>
        </is>
      </c>
    </row>
    <row r="49" ht="42" customHeight="1">
      <c r="A49" s="75" t="inlineStr">
        <is>
          <t>2026-07-26T21:02:36+09:00</t>
        </is>
      </c>
      <c r="B49" s="75" t="inlineStr">
        <is>
          <t>2026-06-26T01:30:26Z</t>
        </is>
      </c>
      <c r="C49" s="60" t="inlineStr">
        <is>
          <t>Asia</t>
        </is>
      </c>
      <c r="D49" s="60" t="inlineStr">
        <is>
          <t>Japan</t>
        </is>
      </c>
      <c r="E49" s="60" t="inlineStr"/>
      <c r="F49" s="76" t="n">
        <v>5</v>
      </c>
      <c r="G49" s="60" t="inlineStr">
        <is>
          <t>Government</t>
        </is>
      </c>
      <c r="H49" s="60" t="inlineStr">
        <is>
          <t>NISTEP Updates</t>
        </is>
      </c>
      <c r="I49" s="60" t="inlineStr">
        <is>
          <t>親子企業間の資源再配分と特許活動の特性</t>
        </is>
      </c>
      <c r="J49" s="60" t="inlineStr">
        <is>
          <t>親子企業間での研究開発資源の移動に関する特許活動の特性についての実証分析が行われました。</t>
        </is>
      </c>
      <c r="K49" s="60" t="inlineStr">
        <is>
          <t>https://www.nistep.go.jp/archives/63333/</t>
        </is>
      </c>
      <c r="L49" s="60" t="inlineStr">
        <is>
          <t>25352f245236dac75576baa7</t>
        </is>
      </c>
      <c r="M49" s="75" t="inlineStr">
        <is>
          <t>2026-06-26T10:30:26+09:00</t>
        </is>
      </c>
      <c r="N49" s="60" t="inlineStr">
        <is>
          <t>New</t>
        </is>
      </c>
      <c r="O49" s="60" t="inlineStr">
        <is>
          <t>枠: Innovation Policy / 政策分野: National Programs &amp; Strategy | Patents &amp; Intellectual Property / 学術区分: News &amp; Official Release / 焦点: 親子企業間の資源再配分と特許活動</t>
        </is>
      </c>
    </row>
    <row r="50" ht="42" customHeight="1">
      <c r="A50" s="75" t="inlineStr">
        <is>
          <t>2026-07-26T21:02:36+09:00</t>
        </is>
      </c>
      <c r="B50" s="75" t="inlineStr">
        <is>
          <t>2026-06-25T05:26:14Z</t>
        </is>
      </c>
      <c r="C50" s="60" t="inlineStr">
        <is>
          <t>United States</t>
        </is>
      </c>
      <c r="D50" s="60" t="inlineStr">
        <is>
          <t>United States</t>
        </is>
      </c>
      <c r="E50" s="60" t="inlineStr"/>
      <c r="F50" s="76" t="n">
        <v>4</v>
      </c>
      <c r="G50" s="60" t="inlineStr">
        <is>
          <t>Government</t>
        </is>
      </c>
      <c r="H50" s="60" t="inlineStr">
        <is>
          <t>DOE Office of Science News</t>
        </is>
      </c>
      <c r="I50" s="60" t="inlineStr">
        <is>
          <t>米国エネルギー省が国内供給網を強化</t>
        </is>
      </c>
      <c r="J50" s="60" t="inlineStr">
        <is>
          <t>米国エネルギー省がイリジウム-192の国内生産能力を確立しました。</t>
        </is>
      </c>
      <c r="K50" s="60" t="inlineStr">
        <is>
          <t>https://www.energy.gov/science/articles/doe-strengthens-domestic-supply-chain-american-energy-and-manufacturing</t>
        </is>
      </c>
      <c r="L50" s="60" t="inlineStr">
        <is>
          <t>62854e5795f9fac8f0427e2f</t>
        </is>
      </c>
      <c r="M50" s="75" t="inlineStr">
        <is>
          <t>2026-06-25T14:26:14+09:00</t>
        </is>
      </c>
      <c r="N50" s="60" t="inlineStr">
        <is>
          <t>New</t>
        </is>
      </c>
      <c r="O50" s="60" t="inlineStr">
        <is>
          <t>枠: Innovation Policy / 政策分野: National Programs &amp; Strategy / 学術区分: News &amp; Official Release / 焦点: イリジウム-192の国内生産能力</t>
        </is>
      </c>
    </row>
    <row r="51" ht="42" customHeight="1">
      <c r="A51" s="75" t="inlineStr">
        <is>
          <t>2026-07-26T21:02:36+09:00</t>
        </is>
      </c>
      <c r="B51" s="75" t="inlineStr">
        <is>
          <t>2026-06-25T04:00:24Z</t>
        </is>
      </c>
      <c r="C51" s="60" t="inlineStr">
        <is>
          <t>United States</t>
        </is>
      </c>
      <c r="D51" s="60" t="inlineStr">
        <is>
          <t>Japan</t>
        </is>
      </c>
      <c r="E51" s="60" t="inlineStr"/>
      <c r="F51" s="76" t="n">
        <v>4</v>
      </c>
      <c r="G51" s="60" t="inlineStr">
        <is>
          <t>Government</t>
        </is>
      </c>
      <c r="H51" s="60" t="inlineStr">
        <is>
          <t>NISTEP Updates</t>
        </is>
      </c>
      <c r="I51" s="60" t="inlineStr">
        <is>
          <t>STI Horizon誌2026夏号の公表</t>
        </is>
      </c>
      <c r="J51" s="60" t="inlineStr">
        <is>
          <t>NISTEPが科学技術・イノベーション政策に関する情報を幅広く掲載したSTI Horizon 2026夏号を公表しました。</t>
        </is>
      </c>
      <c r="K51" s="60" t="inlineStr">
        <is>
          <t>https://www.nistep.go.jp/archives/63155/</t>
        </is>
      </c>
      <c r="L51" s="60" t="inlineStr">
        <is>
          <t>79d88af79ddda07d59b28e08</t>
        </is>
      </c>
      <c r="M51" s="75" t="inlineStr">
        <is>
          <t>2026-06-25T13:00:24+09:00</t>
        </is>
      </c>
      <c r="N51" s="60" t="inlineStr">
        <is>
          <t>New</t>
        </is>
      </c>
      <c r="O51" s="60" t="inlineStr">
        <is>
          <t>枠: Innovation Policy / 政策分野: National Programs &amp; Strategy / 学術区分: News &amp; Official Release / 焦点: 科学技術・イノベーション政策</t>
        </is>
      </c>
    </row>
    <row r="52" ht="42" customHeight="1">
      <c r="A52" s="75" t="inlineStr">
        <is>
          <t>2026-07-26T21:02:36+09:00</t>
        </is>
      </c>
      <c r="B52" s="75" t="inlineStr">
        <is>
          <t>2026-06-23T14:26:00Z</t>
        </is>
      </c>
      <c r="C52" s="60" t="inlineStr">
        <is>
          <t>EU &amp; Europe</t>
        </is>
      </c>
      <c r="D52" s="60" t="inlineStr">
        <is>
          <t>United Kingdom</t>
        </is>
      </c>
      <c r="E52" s="60" t="inlineStr">
        <is>
          <t>Robotics</t>
        </is>
      </c>
      <c r="F52" s="76" t="n">
        <v>2</v>
      </c>
      <c r="G52" s="60" t="inlineStr">
        <is>
          <t>Government</t>
        </is>
      </c>
      <c r="H52" s="60" t="inlineStr">
        <is>
          <t>UK DSIT</t>
        </is>
      </c>
      <c r="I52" s="60" t="inlineStr">
        <is>
          <t>Sellafieldの清掃を助ける新しいロボット</t>
        </is>
      </c>
      <c r="J52" s="60" t="inlineStr">
        <is>
          <t>リモート操作された機械がSellafieldの最も危険な核廃棄物保管所に初めて送られ、清掃作業を支援している。</t>
        </is>
      </c>
      <c r="K52" s="60" t="inlineStr">
        <is>
          <t>https://gov.uk/government/news/the-new-robot-helping-clean-up-sellafield</t>
        </is>
      </c>
      <c r="L52" s="60" t="inlineStr">
        <is>
          <t>132391c846d95677d6ca86ff</t>
        </is>
      </c>
      <c r="M52" s="75" t="inlineStr">
        <is>
          <t>2026-06-23T23:26:00+09:00</t>
        </is>
      </c>
      <c r="N52" s="60" t="inlineStr">
        <is>
          <t>New</t>
        </is>
      </c>
      <c r="O52" s="60" t="inlineStr">
        <is>
          <t>枠: Technology Innovation / 学術区分: News &amp; Official Release / 焦点: Sellafieldでのロボットの使用 / Historical backfill from an allowlisted source.</t>
        </is>
      </c>
    </row>
    <row r="53" ht="42" customHeight="1">
      <c r="A53" s="75" t="inlineStr">
        <is>
          <t>2026-07-26T21:02:36+09:00</t>
        </is>
      </c>
      <c r="B53" s="75" t="inlineStr">
        <is>
          <t>2026-06-23T11:43:57Z</t>
        </is>
      </c>
      <c r="C53" s="60" t="inlineStr">
        <is>
          <t>United States</t>
        </is>
      </c>
      <c r="D53" s="60" t="inlineStr">
        <is>
          <t>United States</t>
        </is>
      </c>
      <c r="E53" s="60" t="inlineStr">
        <is>
          <t>Quantum</t>
        </is>
      </c>
      <c r="F53" s="76" t="n">
        <v>5</v>
      </c>
      <c r="G53" s="60" t="inlineStr">
        <is>
          <t>Government</t>
        </is>
      </c>
      <c r="H53" s="60" t="inlineStr">
        <is>
          <t>DOE Office of Science News</t>
        </is>
      </c>
      <c r="I53" s="60" t="inlineStr">
        <is>
          <t>エネルギー省、科学的に関連する耐障害量子コンピュータの創出と展開に関するイニシアティブを発表</t>
        </is>
      </c>
      <c r="J53" s="60" t="inlineStr">
        <is>
          <t>米国エネルギー省が、科学的に関連する耐障害量子コンピュータを創出し展開するためのイニシアティブを発表した。</t>
        </is>
      </c>
      <c r="K53" s="60" t="inlineStr">
        <is>
          <t>https://www.energy.gov/science/articles/energy-department-announces-initiative-create-and-deploy-worlds-first</t>
        </is>
      </c>
      <c r="L53" s="60" t="inlineStr">
        <is>
          <t>9e1d8ad5a7ac944965b9f2bd</t>
        </is>
      </c>
      <c r="M53" s="75" t="inlineStr">
        <is>
          <t>2026-06-23T20:43:57+09:00</t>
        </is>
      </c>
      <c r="N53" s="60" t="inlineStr">
        <is>
          <t>New</t>
        </is>
      </c>
      <c r="O53" s="60" t="inlineStr">
        <is>
          <t>枠: Innovation Policy / 政策分野: National Programs &amp; Strategy / 学術区分: News &amp; Official Release / 焦点: 量子コンピュータの開発</t>
        </is>
      </c>
    </row>
    <row r="54" ht="42" customHeight="1">
      <c r="A54" s="75" t="inlineStr">
        <is>
          <t>2026-07-26T21:02:36+09:00</t>
        </is>
      </c>
      <c r="B54" s="75" t="inlineStr">
        <is>
          <t>2026-06-15T15:23:31Z</t>
        </is>
      </c>
      <c r="C54" s="60" t="inlineStr">
        <is>
          <t>United States</t>
        </is>
      </c>
      <c r="D54" s="60" t="inlineStr">
        <is>
          <t>United States</t>
        </is>
      </c>
      <c r="E54" s="60" t="inlineStr">
        <is>
          <t>Healthcare</t>
        </is>
      </c>
      <c r="F54" s="76" t="n">
        <v>4</v>
      </c>
      <c r="G54" s="60" t="inlineStr">
        <is>
          <t>Government</t>
        </is>
      </c>
      <c r="H54" s="60" t="inlineStr">
        <is>
          <t>NIH News Releases</t>
        </is>
      </c>
      <c r="I54" s="60" t="inlineStr">
        <is>
          <t>研究影響を高めるための再現性向上イニシアティブ</t>
        </is>
      </c>
      <c r="J54"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54" s="60" t="inlineStr">
        <is>
          <t>https://nih.gov/common-fund/common-fund-programs/replication-enhance-research-impact-initiative</t>
        </is>
      </c>
      <c r="L54" s="60" t="inlineStr">
        <is>
          <t>1b5e51bc8d4c51589eee5027</t>
        </is>
      </c>
      <c r="M54" s="75" t="inlineStr">
        <is>
          <t>2026-06-16T00:23:31+09:00</t>
        </is>
      </c>
      <c r="N54" s="60" t="inlineStr">
        <is>
          <t>New</t>
        </is>
      </c>
      <c r="O54" s="60" t="inlineStr">
        <is>
          <t>枠: Technology Innovation / 政策分野: Patents &amp; Intellectual Property / 学術区分: News &amp; Official Release / 焦点: 生物医学研究の再現性 / Historical backfill from an allowlisted source.</t>
        </is>
      </c>
    </row>
    <row r="55" ht="42" customHeight="1">
      <c r="A55" s="75" t="inlineStr">
        <is>
          <t>2026-07-26T21:02:36+09:00</t>
        </is>
      </c>
      <c r="B55" s="75" t="inlineStr">
        <is>
          <t>2026-06-15T00:00:00Z</t>
        </is>
      </c>
      <c r="C55" s="60" t="inlineStr">
        <is>
          <t>EU &amp; Europe</t>
        </is>
      </c>
      <c r="D55" s="60" t="inlineStr">
        <is>
          <t>International / France</t>
        </is>
      </c>
      <c r="E55" s="60" t="inlineStr">
        <is>
          <t>Fusion Energy</t>
        </is>
      </c>
      <c r="F55" s="76" t="n">
        <v>2</v>
      </c>
      <c r="G55" s="60" t="inlineStr">
        <is>
          <t>Intergovernmental</t>
        </is>
      </c>
      <c r="H55" s="60" t="inlineStr">
        <is>
          <t>ITER News</t>
        </is>
      </c>
      <c r="I55" s="60" t="inlineStr">
        <is>
          <t>世界中から一つのアセンブリラインへ</t>
        </is>
      </c>
      <c r="J55" s="60" t="inlineStr">
        <is>
          <t>ITERダイバータが新たな統合段階に入り、設計・製造の数十年を経て新しいフェーズに突入した。</t>
        </is>
      </c>
      <c r="K55" s="60" t="inlineStr">
        <is>
          <t>https://www.iter.org/node/20687/around-world-one-assembly-line</t>
        </is>
      </c>
      <c r="L55" s="60" t="inlineStr">
        <is>
          <t>ac71361e131ee1a80ac51837</t>
        </is>
      </c>
      <c r="M55" s="75" t="inlineStr">
        <is>
          <t>2026-06-15T09:00:00+09:00</t>
        </is>
      </c>
      <c r="N55" s="60" t="inlineStr">
        <is>
          <t>New</t>
        </is>
      </c>
      <c r="O55" s="60" t="inlineStr">
        <is>
          <t>枠: Technology Innovation / 学術区分: News &amp; Official Release / 焦点: ITERダイバータの統合</t>
        </is>
      </c>
    </row>
    <row r="56" ht="42" customHeight="1">
      <c r="A56" s="75" t="inlineStr">
        <is>
          <t>2026-07-26T21:02:36+09:00</t>
        </is>
      </c>
      <c r="B56" s="75" t="inlineStr">
        <is>
          <t>2026-06-15T00:00:00Z</t>
        </is>
      </c>
      <c r="C56" s="60" t="inlineStr">
        <is>
          <t>EU &amp; Europe</t>
        </is>
      </c>
      <c r="D56" s="60" t="inlineStr">
        <is>
          <t>International / France</t>
        </is>
      </c>
      <c r="E56" s="60" t="inlineStr">
        <is>
          <t>Fusion Energy</t>
        </is>
      </c>
      <c r="F56" s="76" t="n">
        <v>2</v>
      </c>
      <c r="G56" s="60" t="inlineStr">
        <is>
          <t>Intergovernmental</t>
        </is>
      </c>
      <c r="H56" s="60" t="inlineStr">
        <is>
          <t>ITER News</t>
        </is>
      </c>
      <c r="I56" s="60" t="inlineStr">
        <is>
          <t>馬の年に先を行く</t>
        </is>
      </c>
      <c r="J56" s="60" t="inlineStr">
        <is>
          <t>ITERでの真空容器の組立が予定よりも早く進行中で、経験と調整の利点が示されている。</t>
        </is>
      </c>
      <c r="K56" s="60" t="inlineStr">
        <is>
          <t>https://www.iter.org/node/20687/galloping-ahead-year-horse</t>
        </is>
      </c>
      <c r="L56" s="60" t="inlineStr">
        <is>
          <t>47f993ca6a92c4175db656f6</t>
        </is>
      </c>
      <c r="M56" s="75" t="inlineStr">
        <is>
          <t>2026-06-15T09:00:00+09:00</t>
        </is>
      </c>
      <c r="N56" s="60" t="inlineStr">
        <is>
          <t>New</t>
        </is>
      </c>
      <c r="O56" s="60" t="inlineStr">
        <is>
          <t>枠: Technology Innovation / 学術区分: News &amp; Official Release / 焦点: 真空容器の組立</t>
        </is>
      </c>
    </row>
    <row r="57" ht="42" customHeight="1">
      <c r="A57" s="75" t="inlineStr">
        <is>
          <t>2026-07-26T21:02:36+09:00</t>
        </is>
      </c>
      <c r="B57" s="75" t="inlineStr">
        <is>
          <t>2026-06-15T00:00:00Z</t>
        </is>
      </c>
      <c r="C57" s="60" t="inlineStr">
        <is>
          <t>EU &amp; Europe</t>
        </is>
      </c>
      <c r="D57" s="60" t="inlineStr">
        <is>
          <t>International / France</t>
        </is>
      </c>
      <c r="E57" s="60" t="inlineStr">
        <is>
          <t>Fusion Energy</t>
        </is>
      </c>
      <c r="F57" s="76" t="n">
        <v>2</v>
      </c>
      <c r="G57" s="60" t="inlineStr">
        <is>
          <t>Intergovernmental</t>
        </is>
      </c>
      <c r="H57" s="60" t="inlineStr">
        <is>
          <t>ITER News</t>
        </is>
      </c>
      <c r="I57" s="60" t="inlineStr">
        <is>
          <t>ロシアのクルチャトフ研究所との協定を締結</t>
        </is>
      </c>
      <c r="J57" s="60" t="inlineStr">
        <is>
          <t>ITERがロシアのクルチャトフ研究所との間で科学的交流や共同研究プログラムの実施に関する協定を締結した。</t>
        </is>
      </c>
      <c r="K57" s="60" t="inlineStr">
        <is>
          <t>https://www.iter.org/node/20687/iter-signs-agreement-russias-kurchatov-institute</t>
        </is>
      </c>
      <c r="L57" s="60" t="inlineStr">
        <is>
          <t>bef2ae98b3b6e9a710e28c9f</t>
        </is>
      </c>
      <c r="M57" s="75" t="inlineStr">
        <is>
          <t>2026-06-15T09:00:00+09:00</t>
        </is>
      </c>
      <c r="N57" s="60" t="inlineStr">
        <is>
          <t>New</t>
        </is>
      </c>
      <c r="O57" s="60" t="inlineStr">
        <is>
          <t>枠: Technology Innovation / 学術区分: News &amp; Official Release / 焦点: ロシアのクルチャトフ研究所との協定</t>
        </is>
      </c>
    </row>
    <row r="58" ht="42" customHeight="1">
      <c r="A58" s="75" t="inlineStr">
        <is>
          <t>2026-07-26T21:02:36+09:00</t>
        </is>
      </c>
      <c r="B58" s="75" t="inlineStr">
        <is>
          <t>2026-06-11T17:39:29Z</t>
        </is>
      </c>
      <c r="C58" s="60" t="inlineStr">
        <is>
          <t>Global</t>
        </is>
      </c>
      <c r="D58" s="60" t="inlineStr">
        <is>
          <t>United States</t>
        </is>
      </c>
      <c r="E58" s="60" t="inlineStr">
        <is>
          <t>Artificial Intelligence</t>
        </is>
      </c>
      <c r="F58" s="76" t="n">
        <v>2</v>
      </c>
      <c r="G58" s="60" t="inlineStr">
        <is>
          <t>Official Company</t>
        </is>
      </c>
      <c r="H58" s="60" t="inlineStr">
        <is>
          <t>OpenAI News</t>
        </is>
      </c>
      <c r="I58" s="60" t="inlineStr">
        <is>
          <t>特許に関する私たちのアプローチ</t>
        </is>
      </c>
      <c r="J58" s="60" t="inlineStr">
        <is>
          <t>OpenAIは、AIのための広範なアクセス、協力、安全性の原則にコミットしています。</t>
        </is>
      </c>
      <c r="K58" s="60" t="inlineStr">
        <is>
          <t>https://openai.com/approach-to-patents</t>
        </is>
      </c>
      <c r="L58" s="60" t="inlineStr">
        <is>
          <t>15bd5956a07021e966ca1264</t>
        </is>
      </c>
      <c r="M58" s="75" t="inlineStr">
        <is>
          <t>2026-06-12T02:39:29+09:00</t>
        </is>
      </c>
      <c r="N58" s="60" t="inlineStr">
        <is>
          <t>New</t>
        </is>
      </c>
      <c r="O58" s="60" t="inlineStr">
        <is>
          <t>枠: Innovation Policy / 政策分野: Patents &amp; Intellectual Property / 学術区分: News &amp; Official Release / 焦点: AIに関する特許の方針 / Historical backfill from an allowlisted source.</t>
        </is>
      </c>
    </row>
    <row r="59" ht="42" customHeight="1">
      <c r="A59" s="75" t="inlineStr">
        <is>
          <t>2026-07-26T21:02:36+09:00</t>
        </is>
      </c>
      <c r="B59" s="75" t="inlineStr">
        <is>
          <t>2026-06-09T19:00:00Z</t>
        </is>
      </c>
      <c r="C59" s="60" t="inlineStr">
        <is>
          <t>United States</t>
        </is>
      </c>
      <c r="D59" s="60" t="inlineStr">
        <is>
          <t>United States</t>
        </is>
      </c>
      <c r="E59" s="60" t="inlineStr">
        <is>
          <t>Fusion Energy</t>
        </is>
      </c>
      <c r="F59" s="76" t="n">
        <v>5</v>
      </c>
      <c r="G59" s="60" t="inlineStr">
        <is>
          <t>Government</t>
        </is>
      </c>
      <c r="H59" s="60" t="inlineStr">
        <is>
          <t>DOE Office of Science News</t>
        </is>
      </c>
      <c r="I59" s="60" t="inlineStr">
        <is>
          <t>エネルギー省が核融合科学と技術のロードマップを発表</t>
        </is>
      </c>
      <c r="J59" s="60" t="inlineStr">
        <is>
          <t>米国エネルギー省は、核融合エネルギーの開発と商業化を加速するための戦略を発表しました。</t>
        </is>
      </c>
      <c r="K59" s="60" t="inlineStr">
        <is>
          <t>https://www.energy.gov/articles/energy-department-releases-finalized-fusion-science-and-technology-roadmap-accelerate</t>
        </is>
      </c>
      <c r="L59" s="60" t="inlineStr">
        <is>
          <t>bf24d6f8eb27dabbbe4e196e</t>
        </is>
      </c>
      <c r="M59" s="75" t="inlineStr">
        <is>
          <t>2026-06-10T04:00:00+09:00</t>
        </is>
      </c>
      <c r="N59" s="60" t="inlineStr">
        <is>
          <t>New</t>
        </is>
      </c>
      <c r="O59" s="60" t="inlineStr">
        <is>
          <t>枠: Innovation Policy / 政策分野: National Programs &amp; Strategy | Patents &amp; Intellectual Property / 学術区分: News &amp; Official Release / 焦点: 核融合エネルギーの商業化に向けた戦略</t>
        </is>
      </c>
    </row>
    <row r="60" ht="42" customHeight="1">
      <c r="A60" s="75" t="inlineStr">
        <is>
          <t>2026-07-26T21:02:36+09:00</t>
        </is>
      </c>
      <c r="B60" s="75" t="inlineStr">
        <is>
          <t>2026-06-09T12:00:00Z</t>
        </is>
      </c>
      <c r="C60" s="60" t="inlineStr">
        <is>
          <t>United States</t>
        </is>
      </c>
      <c r="D60" s="60" t="inlineStr">
        <is>
          <t>United States</t>
        </is>
      </c>
      <c r="E60" s="60" t="inlineStr">
        <is>
          <t>Artificial Intelligence</t>
        </is>
      </c>
      <c r="F60" s="76" t="n">
        <v>3</v>
      </c>
      <c r="G60" s="60" t="inlineStr">
        <is>
          <t>Government</t>
        </is>
      </c>
      <c r="H60" s="60" t="inlineStr">
        <is>
          <t>NIST News</t>
        </is>
      </c>
      <c r="I60" s="60" t="inlineStr">
        <is>
          <t>NISTの数学的証明がAIシステムのセキュリティモデルへの移行を支持</t>
        </is>
      </c>
      <c r="J60" s="60" t="inlineStr">
        <is>
          <t>NISTは、AIシステムのための継続的な監視と更新のセキュリティモデルへの移行を支持する数学的証明を発表しました。</t>
        </is>
      </c>
      <c r="K60" s="60" t="inlineStr">
        <is>
          <t>https://www.nist.gov/news-events/news/2026/06/nist-mathematical-proof-supports-transition-continuous-monitor-and-update</t>
        </is>
      </c>
      <c r="L60" s="60" t="inlineStr">
        <is>
          <t>edf1c2446b6ba41114d4bc6b</t>
        </is>
      </c>
      <c r="M60" s="75" t="inlineStr">
        <is>
          <t>2026-06-09T21:00:00+09:00</t>
        </is>
      </c>
      <c r="N60" s="60" t="inlineStr">
        <is>
          <t>New</t>
        </is>
      </c>
      <c r="O60" s="60" t="inlineStr">
        <is>
          <t>枠: Innovation Policy / 政策分野: Public Procurement &amp; Industrial Policy / 学術区分: News &amp; Official Release / 焦点: AIシステムのセキュリティモデル</t>
        </is>
      </c>
    </row>
    <row r="61" ht="42" customHeight="1">
      <c r="A61" s="75" t="inlineStr">
        <is>
          <t>2026-07-26T21:02:36+09:00</t>
        </is>
      </c>
      <c r="B61" s="75" t="inlineStr">
        <is>
          <t>2026-06-08T00:00:00Z</t>
        </is>
      </c>
      <c r="C61" s="60" t="inlineStr">
        <is>
          <t>Global</t>
        </is>
      </c>
      <c r="D61" s="60" t="inlineStr">
        <is>
          <t>Global</t>
        </is>
      </c>
      <c r="E61" s="60" t="inlineStr">
        <is>
          <t>Space</t>
        </is>
      </c>
      <c r="F61" s="76" t="n">
        <v>0</v>
      </c>
      <c r="G61" s="60" t="inlineStr">
        <is>
          <t>Conference Paper</t>
        </is>
      </c>
      <c r="H61" s="60" t="inlineStr">
        <is>
          <t>Proceedings of the International Conference on Automated Planning and Scheduling</t>
        </is>
      </c>
      <c r="I61" s="60" t="inlineStr">
        <is>
          <t>NASAの観測ミッションにおける深層強化学習</t>
        </is>
      </c>
      <c r="J61" s="60" t="inlineStr">
        <is>
          <t>NASAのキャルサーズ地球コロナ観測ミッションにおける長期運用スケジューリングのための深層強化学習が紹介されている。</t>
        </is>
      </c>
      <c r="K61" s="60" t="inlineStr">
        <is>
          <t>https://doi.org/10.1609/icaps.v36i1.42871</t>
        </is>
      </c>
      <c r="L61" s="60" t="inlineStr">
        <is>
          <t>c180becba22f98a3320c630d</t>
        </is>
      </c>
      <c r="M61" s="75" t="inlineStr">
        <is>
          <t>2026-06-08T09:00:00+09:00</t>
        </is>
      </c>
      <c r="N61" s="60" t="inlineStr">
        <is>
          <t>New</t>
        </is>
      </c>
      <c r="O61" s="60" t="inlineStr">
        <is>
          <t>枠: Technology Innovation / 学術区分: Conference Paper / 査読表示: Conference proceedings — review status varies / 掲載誌・学会: Proceedings of the International Conference on Automated Planning and Scheduling / 焦点: NASAの観測ミッションにおける運用スケジューリング / OpenAlex record; work type=conference-paper; citations=0</t>
        </is>
      </c>
    </row>
    <row r="62" ht="42" customHeight="1">
      <c r="A62" s="75" t="inlineStr">
        <is>
          <t>2026-07-26T21:02:36+09:00</t>
        </is>
      </c>
      <c r="B62" s="75" t="inlineStr">
        <is>
          <t>2026-06-05T12:28:26Z</t>
        </is>
      </c>
      <c r="C62" s="60" t="inlineStr">
        <is>
          <t>United States</t>
        </is>
      </c>
      <c r="D62" s="60" t="inlineStr">
        <is>
          <t>Global</t>
        </is>
      </c>
      <c r="E62" s="60" t="inlineStr"/>
      <c r="F62" s="76" t="n">
        <v>3</v>
      </c>
      <c r="G62" s="60" t="inlineStr">
        <is>
          <t>Intergovernmental</t>
        </is>
      </c>
      <c r="H62" s="60" t="inlineStr">
        <is>
          <t>WHO News</t>
        </is>
      </c>
      <c r="I62" s="60" t="inlineStr">
        <is>
          <t>アフリカCDCとWHOが共同でエボラ対応計画を発表</t>
        </is>
      </c>
      <c r="J62" s="60" t="inlineStr">
        <is>
          <t>アフリカCDCとWHOがエボラウイルスの対応計画を発表し、5億1800万ドルの資金を目指す。</t>
        </is>
      </c>
      <c r="K62" s="60" t="inlineStr">
        <is>
          <t>https://www.who.int/news/item/05-06-2026-africa-cdc-and-who-launch-joint-continental-ebola-response-plan</t>
        </is>
      </c>
      <c r="L62" s="60" t="inlineStr">
        <is>
          <t>41c465a6eca3591002d781ba</t>
        </is>
      </c>
      <c r="M62" s="75" t="inlineStr">
        <is>
          <t>2026-06-05T21:28:26+09:00</t>
        </is>
      </c>
      <c r="N62" s="60" t="inlineStr">
        <is>
          <t>New</t>
        </is>
      </c>
      <c r="O62" s="60" t="inlineStr">
        <is>
          <t>枠: Innovation Policy / 政策分野: Public Procurement &amp; Industrial Policy / 学術区分: News &amp; Official Release / 焦点: エボラウイルスに対する対応計画</t>
        </is>
      </c>
    </row>
    <row r="63" ht="42" customHeight="1">
      <c r="A63" s="75" t="inlineStr">
        <is>
          <t>2026-07-26T21:02:36+09:00</t>
        </is>
      </c>
      <c r="B63" s="75" t="inlineStr">
        <is>
          <t>2026-06-04T12:00:00Z</t>
        </is>
      </c>
      <c r="C63" s="60" t="inlineStr">
        <is>
          <t>United States</t>
        </is>
      </c>
      <c r="D63" s="60" t="inlineStr">
        <is>
          <t>United States</t>
        </is>
      </c>
      <c r="E63" s="60" t="inlineStr">
        <is>
          <t>Artificial Intelligence</t>
        </is>
      </c>
      <c r="F63" s="76" t="n">
        <v>3</v>
      </c>
      <c r="G63" s="60" t="inlineStr">
        <is>
          <t>Government</t>
        </is>
      </c>
      <c r="H63" s="60" t="inlineStr">
        <is>
          <t>NIST News</t>
        </is>
      </c>
      <c r="I63" s="60" t="inlineStr">
        <is>
          <t>新しいAIモデルが火災時の避難経路を特定</t>
        </is>
      </c>
      <c r="J63" s="60" t="inlineStr">
        <is>
          <t>NISTが火災時に安全な避難経路を特定する新しいAIモデルを作成した。</t>
        </is>
      </c>
      <c r="K63" s="60" t="inlineStr">
        <is>
          <t>https://www.nist.gov/news-events/news/2026/06/new-ai-model-shows-how-evacuate-fires-one-safe-step-time</t>
        </is>
      </c>
      <c r="L63" s="60" t="inlineStr">
        <is>
          <t>434bb62e0a1e48aca17e1405</t>
        </is>
      </c>
      <c r="M63" s="75" t="inlineStr">
        <is>
          <t>2026-06-04T21:00:00+09:00</t>
        </is>
      </c>
      <c r="N63" s="60" t="inlineStr">
        <is>
          <t>New</t>
        </is>
      </c>
      <c r="O63" s="60" t="inlineStr">
        <is>
          <t>枠: Innovation Policy / 政策分野: Public Procurement &amp; Industrial Policy / 学術区分: News &amp; Official Release / 焦点: 火災時の避難経路を特定するAIモデル</t>
        </is>
      </c>
    </row>
    <row r="64" ht="42" customHeight="1">
      <c r="A64" s="75" t="inlineStr">
        <is>
          <t>2026-07-26T21:02:36+09:00</t>
        </is>
      </c>
      <c r="B64" s="75" t="inlineStr">
        <is>
          <t>2026-06-04T12:00:00Z</t>
        </is>
      </c>
      <c r="C64" s="60" t="inlineStr">
        <is>
          <t>United States</t>
        </is>
      </c>
      <c r="D64" s="60" t="inlineStr">
        <is>
          <t>United States</t>
        </is>
      </c>
      <c r="E64" s="60" t="inlineStr"/>
      <c r="F64" s="76" t="n">
        <v>3</v>
      </c>
      <c r="G64" s="60" t="inlineStr">
        <is>
          <t>Government</t>
        </is>
      </c>
      <c r="H64" s="60" t="inlineStr">
        <is>
          <t>NIST News</t>
        </is>
      </c>
      <c r="I64" s="60" t="inlineStr">
        <is>
          <t>NISTがレーザーを用いた合金の結合方法を発見</t>
        </is>
      </c>
      <c r="J64" s="60" t="inlineStr">
        <is>
          <t>NISTが3Dプリンティング中の金属の原子構造をリアルタイムで研究する方法を改善した。</t>
        </is>
      </c>
      <c r="K64" s="60" t="inlineStr">
        <is>
          <t>https://www.nist.gov/news-events/news/2026/06/nist-researchers-discover-new-way-whisk-alloys-together-lasers</t>
        </is>
      </c>
      <c r="L64" s="60" t="inlineStr">
        <is>
          <t>a03605c38ac072e4b77247db</t>
        </is>
      </c>
      <c r="M64" s="75" t="inlineStr">
        <is>
          <t>2026-06-04T21:00:00+09:00</t>
        </is>
      </c>
      <c r="N64" s="60" t="inlineStr">
        <is>
          <t>New</t>
        </is>
      </c>
      <c r="O64" s="60" t="inlineStr">
        <is>
          <t>枠: Innovation Policy / 政策分野: Public Procurement &amp; Industrial Policy / 学術区分: News &amp; Official Release / 焦点: レーザーを用いた合金の結合方法</t>
        </is>
      </c>
    </row>
    <row r="65" ht="42" customHeight="1">
      <c r="A65" s="75" t="inlineStr">
        <is>
          <t>2026-07-26T21:02:36+09:00</t>
        </is>
      </c>
      <c r="B65" s="75" t="inlineStr">
        <is>
          <t>2026-06-03T03:00:33Z</t>
        </is>
      </c>
      <c r="C65" s="60" t="inlineStr">
        <is>
          <t>Global</t>
        </is>
      </c>
      <c r="D65" s="60" t="inlineStr">
        <is>
          <t>United States</t>
        </is>
      </c>
      <c r="E65" s="60" t="inlineStr">
        <is>
          <t>Semiconductors &amp; Telecom</t>
        </is>
      </c>
      <c r="F65" s="76" t="n">
        <v>0</v>
      </c>
      <c r="G65" s="60" t="inlineStr">
        <is>
          <t>Official Company</t>
        </is>
      </c>
      <c r="H65" s="60" t="inlineStr">
        <is>
          <t>Intel Newsroom</t>
        </is>
      </c>
      <c r="I65" s="60" t="inlineStr">
        <is>
          <t>インテル、企業向けEthernet E835ネットワーク制御装置を発表</t>
        </is>
      </c>
      <c r="J65"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65" s="60" t="inlineStr">
        <is>
          <t>https://newsroom.intel.com/pt/data-cente/intel-apresenta-controladores-e-adaptadores-de-rede-ethernet-e835-para-infraestruturas-corporativas-de-borda-e-telecomunicacoes</t>
        </is>
      </c>
      <c r="L65" s="60" t="inlineStr">
        <is>
          <t>c78a2a348fa6a57f7ff2f7c3</t>
        </is>
      </c>
      <c r="M65" s="75" t="inlineStr">
        <is>
          <t>2026-06-03T12:00:33+09:00</t>
        </is>
      </c>
      <c r="N65" s="60" t="inlineStr">
        <is>
          <t>New</t>
        </is>
      </c>
      <c r="O65" s="60" t="inlineStr">
        <is>
          <t>枠: Technology Innovation / 学術区分: News &amp; Official Release / 焦点: Ethernetネットワーク用の制御装置とアダプタ / Historical backfill from an allowlisted source.</t>
        </is>
      </c>
    </row>
    <row r="66" ht="42" customHeight="1">
      <c r="A66" s="75" t="inlineStr">
        <is>
          <t>2026-07-26T21:02:36+09:00</t>
        </is>
      </c>
      <c r="B66" s="75" t="inlineStr">
        <is>
          <t>2026-06-01T00:00:00Z</t>
        </is>
      </c>
      <c r="C66" s="60" t="inlineStr">
        <is>
          <t>Global</t>
        </is>
      </c>
      <c r="D66" s="60" t="inlineStr">
        <is>
          <t>Global</t>
        </is>
      </c>
      <c r="E66" s="60" t="inlineStr">
        <is>
          <t>Fusion Energy</t>
        </is>
      </c>
      <c r="F66" s="76" t="n">
        <v>0</v>
      </c>
      <c r="G66" s="60" t="inlineStr">
        <is>
          <t>Journal Article</t>
        </is>
      </c>
      <c r="H66" s="60" t="inlineStr">
        <is>
          <t>Journal of Plasma Physics</t>
        </is>
      </c>
      <c r="I66" s="60" t="inlineStr">
        <is>
          <t>ARC核融合発電所の物理的基盤の概要</t>
        </is>
      </c>
      <c r="J66" s="60" t="inlineStr">
        <is>
          <t>ARC核融合発電所に関する物理的基盤を概説した研究であり、核融合技術に関連する具体的な内容が含まれている。</t>
        </is>
      </c>
      <c r="K66" s="60" t="inlineStr">
        <is>
          <t>https://doi.org/10.1017/s0022377826101706</t>
        </is>
      </c>
      <c r="L66" s="60" t="inlineStr">
        <is>
          <t>4c3553fe5b06c01ca071e28f</t>
        </is>
      </c>
      <c r="M66" s="75" t="inlineStr">
        <is>
          <t>2026-06-01T09:00:00+09:00</t>
        </is>
      </c>
      <c r="N66" s="60" t="inlineStr">
        <is>
          <t>New</t>
        </is>
      </c>
      <c r="O66" s="60" t="inlineStr">
        <is>
          <t>枠: Technology Innovation / 学術区分: Journal Article / 査読表示: Journal record — confirm peer review on publisher page / 掲載誌・学会: Journal of Plasma Physics / 焦点: ARC核融合発電所の物理的基盤 / OpenAlex record; work type=article; citations=5</t>
        </is>
      </c>
    </row>
    <row r="67" ht="42" customHeight="1">
      <c r="A67" s="75" t="inlineStr">
        <is>
          <t>2026-07-26T21:02:36+09:00</t>
        </is>
      </c>
      <c r="B67" s="75" t="inlineStr">
        <is>
          <t>2026-06-01T00:00:00Z</t>
        </is>
      </c>
      <c r="C67" s="60" t="inlineStr">
        <is>
          <t>Global</t>
        </is>
      </c>
      <c r="D67" s="60" t="inlineStr">
        <is>
          <t>Global</t>
        </is>
      </c>
      <c r="E67" s="60" t="inlineStr">
        <is>
          <t>Fusion Energy</t>
        </is>
      </c>
      <c r="F67" s="76" t="n">
        <v>0</v>
      </c>
      <c r="G67" s="60" t="inlineStr">
        <is>
          <t>Journal Article</t>
        </is>
      </c>
      <c r="H67" s="60" t="inlineStr">
        <is>
          <t>Physics of Plasmas</t>
        </is>
      </c>
      <c r="I67" s="60" t="inlineStr">
        <is>
          <t>ステラレーター平衡最適化のための柔軟で微分可能なコイルプロキシ</t>
        </is>
      </c>
      <c r="J67" s="60" t="inlineStr">
        <is>
          <t>ステラレーターの平衡最適化に関する研究で、核融合技術に関連する具体的な内容が含まれている。</t>
        </is>
      </c>
      <c r="K67" s="60" t="inlineStr">
        <is>
          <t>https://doi.org/10.1063/5.0307710</t>
        </is>
      </c>
      <c r="L67" s="60" t="inlineStr">
        <is>
          <t>aa6e411aac0ccc5f00d72fac</t>
        </is>
      </c>
      <c r="M67" s="75" t="inlineStr">
        <is>
          <t>2026-06-01T09:00:00+09:00</t>
        </is>
      </c>
      <c r="N67" s="60" t="inlineStr">
        <is>
          <t>New</t>
        </is>
      </c>
      <c r="O67" s="60" t="inlineStr">
        <is>
          <t>枠: Technology Innovation / 学術区分: Journal Article / 査読表示: Journal record — confirm peer review on publisher page / 掲載誌・学会: Physics of Plasmas / 焦点: ステラレーターの平衡最適化に関する研究 / OpenAlex record; work type=article; citations=1</t>
        </is>
      </c>
    </row>
    <row r="68" ht="42" customHeight="1">
      <c r="A68" s="75" t="inlineStr">
        <is>
          <t>2026-07-26T21:02:36+09:00</t>
        </is>
      </c>
      <c r="B68" s="75" t="inlineStr">
        <is>
          <t>2026-05-20T00:00:00Z</t>
        </is>
      </c>
      <c r="C68" s="60" t="inlineStr">
        <is>
          <t>Global</t>
        </is>
      </c>
      <c r="D68" s="60" t="inlineStr">
        <is>
          <t>Global</t>
        </is>
      </c>
      <c r="E68" s="60" t="inlineStr">
        <is>
          <t>Biotechnology</t>
        </is>
      </c>
      <c r="F68" s="76" t="n">
        <v>0</v>
      </c>
      <c r="G68" s="60" t="inlineStr">
        <is>
          <t>Conference Paper</t>
        </is>
      </c>
      <c r="H68" s="60" t="inlineStr">
        <is>
          <t>Exploring Science Academic Conference Series</t>
        </is>
      </c>
      <c r="I68" s="60" t="inlineStr">
        <is>
          <t>ベンチからベッドサイドへ：CRISPR遺伝子編集の多次元臨床応用と課題</t>
        </is>
      </c>
      <c r="J68" s="60" t="inlineStr">
        <is>
          <t>CRISPR遺伝子編集技術の臨床応用とその課題について議論する。</t>
        </is>
      </c>
      <c r="K68" s="60" t="inlineStr">
        <is>
          <t>https://doi.org/10.70267/shbe.20262633</t>
        </is>
      </c>
      <c r="L68" s="60" t="inlineStr">
        <is>
          <t>f3ffddf94d57c4580e4df687</t>
        </is>
      </c>
      <c r="M68" s="75" t="inlineStr">
        <is>
          <t>2026-05-20T09:00:00+09:00</t>
        </is>
      </c>
      <c r="N68" s="60" t="inlineStr">
        <is>
          <t>New</t>
        </is>
      </c>
      <c r="O6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69" ht="42" customHeight="1">
      <c r="A69" s="75" t="inlineStr">
        <is>
          <t>2026-07-26T21:02:36+09:00</t>
        </is>
      </c>
      <c r="B69" s="75" t="inlineStr">
        <is>
          <t>2026-05-09T00:00:00Z</t>
        </is>
      </c>
      <c r="C69" s="60" t="inlineStr">
        <is>
          <t>Global</t>
        </is>
      </c>
      <c r="D69" s="60" t="inlineStr">
        <is>
          <t>Global</t>
        </is>
      </c>
      <c r="E69" s="60" t="inlineStr">
        <is>
          <t>Artificial Intelligence</t>
        </is>
      </c>
      <c r="F69" s="76" t="n">
        <v>0</v>
      </c>
      <c r="G69" s="60" t="inlineStr">
        <is>
          <t>Journal Article</t>
        </is>
      </c>
      <c r="H69" s="60" t="inlineStr">
        <is>
          <t>Frontiers of Computer Science</t>
        </is>
      </c>
      <c r="I69" s="60" t="inlineStr">
        <is>
          <t>大規模言語モデルの調査</t>
        </is>
      </c>
      <c r="J69" s="60" t="inlineStr">
        <is>
          <t>大規模言語モデルに関する調査を行い、自然言語処理技術やデータサイエンスの関連性を探る。</t>
        </is>
      </c>
      <c r="K69" s="60" t="inlineStr">
        <is>
          <t>https://doi.org/10.1007/s11704-026-60308-3</t>
        </is>
      </c>
      <c r="L69" s="60" t="inlineStr">
        <is>
          <t>a9e3f3eff30c6762c76be864</t>
        </is>
      </c>
      <c r="M69" s="75" t="inlineStr">
        <is>
          <t>2026-05-09T09:00:00+09:00</t>
        </is>
      </c>
      <c r="N69" s="60" t="inlineStr">
        <is>
          <t>New</t>
        </is>
      </c>
      <c r="O69" s="60" t="inlineStr">
        <is>
          <t>枠: Technology Innovation / 学術区分: Journal Article / 査読表示: Journal record — confirm peer review on publisher page / 掲載誌・学会: Frontiers of Computer Science / 焦点: 大規模言語モデル / OpenAlex record; work type=article; citations=1421</t>
        </is>
      </c>
    </row>
    <row r="70" ht="42" customHeight="1">
      <c r="A70" s="75" t="inlineStr">
        <is>
          <t>2026-07-26T21:02:36+09:00</t>
        </is>
      </c>
      <c r="B70" s="75" t="inlineStr">
        <is>
          <t>2026-05-09T00:00:00Z</t>
        </is>
      </c>
      <c r="C70" s="60" t="inlineStr">
        <is>
          <t>Global</t>
        </is>
      </c>
      <c r="D70" s="60" t="inlineStr">
        <is>
          <t>Global</t>
        </is>
      </c>
      <c r="E70" s="60" t="inlineStr">
        <is>
          <t>Quantum</t>
        </is>
      </c>
      <c r="F70" s="76" t="n">
        <v>0</v>
      </c>
      <c r="G70" s="60" t="inlineStr">
        <is>
          <t>Journal Article</t>
        </is>
      </c>
      <c r="H70" s="60" t="inlineStr">
        <is>
          <t>Physical Review Research</t>
        </is>
      </c>
      <c r="I70" s="60" t="inlineStr">
        <is>
          <t>量子選択された構成相互作用</t>
        </is>
      </c>
      <c r="J70" s="60" t="inlineStr">
        <is>
          <t>量子コンピュータによるハミルトニアンの古典的対角化に関する研究を行う。</t>
        </is>
      </c>
      <c r="K70" s="60" t="inlineStr">
        <is>
          <t>https://doi.org/10.1103/dmn4-snfx</t>
        </is>
      </c>
      <c r="L70" s="60" t="inlineStr">
        <is>
          <t>52e598aac1c8b58d44fc6c10</t>
        </is>
      </c>
      <c r="M70" s="75" t="inlineStr">
        <is>
          <t>2026-05-09T09:00:00+09:00</t>
        </is>
      </c>
      <c r="N70" s="60" t="inlineStr">
        <is>
          <t>New</t>
        </is>
      </c>
      <c r="O70" s="60" t="inlineStr">
        <is>
          <t>枠: Technology Innovation / 学術区分: Journal Article / 査読表示: Journal record — confirm peer review on publisher page / 掲載誌・学会: Physical Review Research / 焦点: 量子選択された構成相互作用 / OpenAlex record; work type=article; citations=19</t>
        </is>
      </c>
    </row>
    <row r="71" ht="42" customHeight="1">
      <c r="A71" s="75" t="inlineStr">
        <is>
          <t>2026-07-26T21:02:36+09:00</t>
        </is>
      </c>
      <c r="B71" s="75" t="inlineStr">
        <is>
          <t>2026-05-01T00:00:00Z</t>
        </is>
      </c>
      <c r="C71" s="60" t="inlineStr">
        <is>
          <t>Global</t>
        </is>
      </c>
      <c r="D71" s="60" t="inlineStr">
        <is>
          <t>Global</t>
        </is>
      </c>
      <c r="E71" s="60" t="inlineStr">
        <is>
          <t>Artificial Intelligence</t>
        </is>
      </c>
      <c r="F71" s="76" t="n">
        <v>0</v>
      </c>
      <c r="G71" s="60" t="inlineStr">
        <is>
          <t>Journal Article</t>
        </is>
      </c>
      <c r="H71" s="60" t="inlineStr">
        <is>
          <t>Fundamental Research</t>
        </is>
      </c>
      <c r="I71" s="60" t="inlineStr">
        <is>
          <t>役割に基づく専門家アーキテクチャに基づくマルチエージェント法務アシスタント</t>
        </is>
      </c>
      <c r="J71" s="60" t="inlineStr">
        <is>
          <t>AIを法務に応用したマルチエージェントシステムの研究を行う。</t>
        </is>
      </c>
      <c r="K71" s="60" t="inlineStr">
        <is>
          <t>https://doi.org/10.1016/j.fmre.2026.03.026</t>
        </is>
      </c>
      <c r="L71" s="60" t="inlineStr">
        <is>
          <t>5b8d24eb7beb412006e619c4</t>
        </is>
      </c>
      <c r="M71" s="75" t="inlineStr">
        <is>
          <t>2026-05-01T09:00:00+09:00</t>
        </is>
      </c>
      <c r="N71" s="60" t="inlineStr">
        <is>
          <t>New</t>
        </is>
      </c>
      <c r="O71" s="60" t="inlineStr">
        <is>
          <t>枠: Technology Innovation / 学術区分: Journal Article / 査読表示: Journal record — confirm peer review on publisher page / 掲載誌・学会: Fundamental Research / 焦点: 役割に基づく専門家アーキテクチャのマルチエージェント法務アシスタント / OpenAlex record; work type=article; citations=92</t>
        </is>
      </c>
    </row>
    <row r="72" ht="42" customHeight="1">
      <c r="A72" s="75" t="inlineStr">
        <is>
          <t>2026-07-26T21:02:36+09:00</t>
        </is>
      </c>
      <c r="B72" s="75" t="inlineStr">
        <is>
          <t>2026-04-28T00:00:00Z</t>
        </is>
      </c>
      <c r="C72" s="60" t="inlineStr">
        <is>
          <t>Global</t>
        </is>
      </c>
      <c r="D72" s="60" t="inlineStr">
        <is>
          <t>Global</t>
        </is>
      </c>
      <c r="E72" s="60" t="inlineStr">
        <is>
          <t>Artificial Intelligence</t>
        </is>
      </c>
      <c r="F72" s="76" t="n">
        <v>0</v>
      </c>
      <c r="G72" s="60" t="inlineStr">
        <is>
          <t>Journal Article</t>
        </is>
      </c>
      <c r="H72" s="60" t="inlineStr">
        <is>
          <t>IEEE Transactions on Neural Networks and Learning Systems</t>
        </is>
      </c>
      <c r="I72" s="60" t="inlineStr">
        <is>
          <t>視覚-言語-行動モデルに関する調査</t>
        </is>
      </c>
      <c r="J72" s="60" t="inlineStr">
        <is>
          <t>ロボティクスにおける視覚と言語の相互作用に関する研究を行う。</t>
        </is>
      </c>
      <c r="K72" s="60" t="inlineStr">
        <is>
          <t>https://doi.org/10.1109/tnnls.2025.3650584</t>
        </is>
      </c>
      <c r="L72" s="60" t="inlineStr">
        <is>
          <t>eb939baa1db14f16d9107554</t>
        </is>
      </c>
      <c r="M72" s="75" t="inlineStr">
        <is>
          <t>2026-04-28T09:00:00+09:00</t>
        </is>
      </c>
      <c r="N72" s="60" t="inlineStr">
        <is>
          <t>New</t>
        </is>
      </c>
      <c r="O72" s="60" t="inlineStr">
        <is>
          <t>枠: Technology Innovation / 学術区分: Journal Article / 査読表示: Journal record — confirm peer review on publisher page / 掲載誌・学会: IEEE Transactions on Neural Networks and Learning Systems / 焦点: 視覚-言語-行動モデル / OpenAlex record; work type=article; citations=15</t>
        </is>
      </c>
    </row>
    <row r="73" ht="42" customHeight="1">
      <c r="A73" s="75" t="inlineStr">
        <is>
          <t>2026-07-26T21:02:36+09:00</t>
        </is>
      </c>
      <c r="B73" s="75" t="inlineStr">
        <is>
          <t>2026-04-28T00:00:00Z</t>
        </is>
      </c>
      <c r="C73" s="60" t="inlineStr">
        <is>
          <t>Global</t>
        </is>
      </c>
      <c r="D73" s="60" t="inlineStr">
        <is>
          <t>Global</t>
        </is>
      </c>
      <c r="E73" s="60" t="inlineStr">
        <is>
          <t>Biotechnology</t>
        </is>
      </c>
      <c r="F73" s="76" t="n">
        <v>0</v>
      </c>
      <c r="G73" s="60" t="inlineStr">
        <is>
          <t>Preprint</t>
        </is>
      </c>
      <c r="H73" s="60" t="inlineStr">
        <is>
          <t>eLife</t>
        </is>
      </c>
      <c r="I73" s="60" t="inlineStr">
        <is>
          <t>DNAバーコード近接グラフによる形状、画像、体積の再構成</t>
        </is>
      </c>
      <c r="J73" s="60" t="inlineStr">
        <is>
          <t>DNAバーコードを用いた新しい再構成手法に関する研究を行う。</t>
        </is>
      </c>
      <c r="K73" s="60" t="inlineStr">
        <is>
          <t>https://doi.org/10.7554/elife.110436.1</t>
        </is>
      </c>
      <c r="L73" s="60" t="inlineStr">
        <is>
          <t>164a3e5a84e9828ecbb1d8ba</t>
        </is>
      </c>
      <c r="M73" s="75" t="inlineStr">
        <is>
          <t>2026-04-28T09:00:00+09:00</t>
        </is>
      </c>
      <c r="N73" s="60" t="inlineStr">
        <is>
          <t>New</t>
        </is>
      </c>
      <c r="O73" s="60" t="inlineStr">
        <is>
          <t>枠: Technology Innovation / 学術区分: Preprint / 査読表示: Not peer reviewed / 掲載誌・学会: eLife / 焦点: DNAバーコード近接グラフによる形状、画像、体積の再構成 / OpenAlex record; work type=preprint; citations=1</t>
        </is>
      </c>
    </row>
    <row r="74" ht="42" customHeight="1">
      <c r="A74" s="75" t="inlineStr">
        <is>
          <t>2026-07-26T21:02:36+09:00</t>
        </is>
      </c>
      <c r="B74" s="75" t="inlineStr">
        <is>
          <t>2026-04-21T00:00:00Z</t>
        </is>
      </c>
      <c r="C74" s="60" t="inlineStr">
        <is>
          <t>Global</t>
        </is>
      </c>
      <c r="D74" s="60" t="inlineStr">
        <is>
          <t>Global</t>
        </is>
      </c>
      <c r="E74" s="60" t="inlineStr">
        <is>
          <t>Robotics</t>
        </is>
      </c>
      <c r="F74" s="76" t="n">
        <v>0</v>
      </c>
      <c r="G74" s="60" t="inlineStr">
        <is>
          <t>Preprint</t>
        </is>
      </c>
      <c r="H74" s="60" t="inlineStr">
        <is>
          <t>Research Square</t>
        </is>
      </c>
      <c r="I74" s="60" t="inlineStr">
        <is>
          <t>スケーラブルなロボティック制御のためのオンライン拡散ポリシーRLアルゴリズムのレビュー</t>
        </is>
      </c>
      <c r="J74" s="60" t="inlineStr">
        <is>
          <t>強化学習を用いたロボティクス制御に関する研究レビュー。</t>
        </is>
      </c>
      <c r="K74" s="60" t="inlineStr">
        <is>
          <t>https://doi.org/10.21203/rs.3.rs-9346251/v1</t>
        </is>
      </c>
      <c r="L74" s="60" t="inlineStr">
        <is>
          <t>08661e9ba2f7468a7d1c0a57</t>
        </is>
      </c>
      <c r="M74" s="75" t="inlineStr">
        <is>
          <t>2026-04-21T09:00:00+09:00</t>
        </is>
      </c>
      <c r="N74" s="60" t="inlineStr">
        <is>
          <t>New</t>
        </is>
      </c>
      <c r="O74" s="60" t="inlineStr">
        <is>
          <t>枠: Technology Innovation / 学術区分: Preprint / 査読表示: Not peer reviewed / 掲載誌・学会: Research Square / 焦点: 強化学習を用いたロボティクスの制御 / OpenAlex record; work type=preprint; citations=1</t>
        </is>
      </c>
    </row>
    <row r="75" ht="42" customHeight="1">
      <c r="A75" s="75" t="inlineStr">
        <is>
          <t>2026-07-26T21:02:36+09:00</t>
        </is>
      </c>
      <c r="B75" s="75" t="inlineStr">
        <is>
          <t>2026-04-15T12:00:00Z</t>
        </is>
      </c>
      <c r="C75" s="60" t="inlineStr">
        <is>
          <t>United States</t>
        </is>
      </c>
      <c r="D75" s="60" t="inlineStr">
        <is>
          <t>United States</t>
        </is>
      </c>
      <c r="E75" s="60" t="inlineStr">
        <is>
          <t>Semiconductors &amp; Telecom</t>
        </is>
      </c>
      <c r="F75" s="76" t="n">
        <v>0</v>
      </c>
      <c r="G75" s="60" t="inlineStr">
        <is>
          <t>Government</t>
        </is>
      </c>
      <c r="H75" s="60" t="inlineStr">
        <is>
          <t>NIST News</t>
        </is>
      </c>
      <c r="I75" s="60" t="inlineStr">
        <is>
          <t>好きな色を選べる：NIST科学者が小型回路で「任意の波長」レーザーを作成</t>
        </is>
      </c>
      <c r="J75" s="60" t="inlineStr">
        <is>
          <t>NISTの科学者たちが、シリコンウェハ上に特殊材料の複雑なパターンを堆積することで、光のための集積回路を作成する方法を開発した。</t>
        </is>
      </c>
      <c r="K75" s="60" t="inlineStr">
        <is>
          <t>https://www.nist.gov/news-events/news/2026/04/any-color-you-nist-scientists-create-any-wavelength-lasers-tiny-circuits</t>
        </is>
      </c>
      <c r="L75" s="60" t="inlineStr">
        <is>
          <t>4fba34d8f0d0bf2d1a725c46</t>
        </is>
      </c>
      <c r="M75" s="75" t="inlineStr">
        <is>
          <t>2026-04-15T21:00:00+09:00</t>
        </is>
      </c>
      <c r="N75" s="60" t="inlineStr">
        <is>
          <t>New</t>
        </is>
      </c>
      <c r="O75" s="60" t="inlineStr">
        <is>
          <t>枠: Technology Innovation / 学術区分: News &amp; Official Release / 焦点: 集積回路の光学技術</t>
        </is>
      </c>
    </row>
    <row r="76" ht="42" customHeight="1">
      <c r="A76" s="75" t="inlineStr">
        <is>
          <t>2026-07-26T21:02:36+09:00</t>
        </is>
      </c>
      <c r="B76" s="75" t="inlineStr">
        <is>
          <t>2026-04-10T00:00:00Z</t>
        </is>
      </c>
      <c r="C76" s="60" t="inlineStr">
        <is>
          <t>Global</t>
        </is>
      </c>
      <c r="D76" s="60" t="inlineStr">
        <is>
          <t>United States</t>
        </is>
      </c>
      <c r="E76" s="60" t="inlineStr">
        <is>
          <t>Artificial Intelligence | Healthcare</t>
        </is>
      </c>
      <c r="F76" s="76" t="n">
        <v>1</v>
      </c>
      <c r="G76" s="60" t="inlineStr">
        <is>
          <t>Official Company</t>
        </is>
      </c>
      <c r="H76" s="60" t="inlineStr">
        <is>
          <t>OpenAI News</t>
        </is>
      </c>
      <c r="I76" s="60" t="inlineStr">
        <is>
          <t>医療におけるAIの活用</t>
        </is>
      </c>
      <c r="J76" s="60" t="inlineStr">
        <is>
          <t>医療現場でのChatGPTの活用により、診断や文書作成、患者ケアを支援する方法が探求されている。</t>
        </is>
      </c>
      <c r="K76" s="60" t="inlineStr">
        <is>
          <t>https://openai.com/academy/healthcare</t>
        </is>
      </c>
      <c r="L76" s="60" t="inlineStr">
        <is>
          <t>66439e0ac0aedcb0a787347c</t>
        </is>
      </c>
      <c r="M76" s="75" t="inlineStr">
        <is>
          <t>2026-04-10T09:00:00+09:00</t>
        </is>
      </c>
      <c r="N76" s="60" t="inlineStr">
        <is>
          <t>New</t>
        </is>
      </c>
      <c r="O76" s="60" t="inlineStr">
        <is>
          <t>枠: Technology Innovation / 学術区分: News &amp; Official Release / 焦点: AIを用いた診断支援ツール / Historical backfill from an allowlisted source.</t>
        </is>
      </c>
    </row>
    <row r="77" ht="42" customHeight="1">
      <c r="A77" s="75" t="inlineStr">
        <is>
          <t>2026-07-26T21:02:36+09:00</t>
        </is>
      </c>
      <c r="B77" s="75" t="inlineStr">
        <is>
          <t>2026-03-30T00:00:00Z</t>
        </is>
      </c>
      <c r="C77" s="60" t="inlineStr">
        <is>
          <t>Global</t>
        </is>
      </c>
      <c r="D77" s="60" t="inlineStr">
        <is>
          <t>Global</t>
        </is>
      </c>
      <c r="E77" s="60" t="inlineStr">
        <is>
          <t>Fusion Energy</t>
        </is>
      </c>
      <c r="F77" s="76" t="n">
        <v>0</v>
      </c>
      <c r="G77" s="60" t="inlineStr">
        <is>
          <t>Journal Article</t>
        </is>
      </c>
      <c r="H77" s="60" t="inlineStr">
        <is>
          <t>Physical review. E</t>
        </is>
      </c>
      <c r="I77" s="60" t="inlineStr">
        <is>
          <t>最適化されたステラレーターWendelstein 7-Xにおけるトカマク性能</t>
        </is>
      </c>
      <c r="J77" s="60" t="inlineStr">
        <is>
          <t>Wendelstein 7-Xにおけるトカマクの性能が最適化され、安定したピーク密度プロファイルが確認されました。</t>
        </is>
      </c>
      <c r="K77" s="60" t="inlineStr">
        <is>
          <t>https://doi.org/10.1103/q59k-8m26</t>
        </is>
      </c>
      <c r="L77" s="60" t="inlineStr">
        <is>
          <t>5f9127127dab71cd54ecf2d1</t>
        </is>
      </c>
      <c r="M77" s="75" t="inlineStr">
        <is>
          <t>2026-03-30T09:00:00+09:00</t>
        </is>
      </c>
      <c r="N77" s="60" t="inlineStr">
        <is>
          <t>New</t>
        </is>
      </c>
      <c r="O77" s="60" t="inlineStr">
        <is>
          <t>枠: Technology Innovation / 学術区分: Journal Article / 査読表示: Journal record — confirm peer review on publisher page / 掲載誌・学会: Physical review. E / 焦点: Wendelstein 7-Xのトカマク性能 / OpenAlex record; work type=article; citations=2</t>
        </is>
      </c>
    </row>
    <row r="78" ht="42" customHeight="1">
      <c r="A78" s="75" t="inlineStr">
        <is>
          <t>2026-07-26T21:02:36+09:00</t>
        </is>
      </c>
      <c r="B78" s="75" t="inlineStr">
        <is>
          <t>2026-03-20T00:00:00Z</t>
        </is>
      </c>
      <c r="C78" s="60" t="inlineStr">
        <is>
          <t>Global</t>
        </is>
      </c>
      <c r="D78" s="60" t="inlineStr">
        <is>
          <t>Global</t>
        </is>
      </c>
      <c r="E78" s="60" t="inlineStr">
        <is>
          <t>Space</t>
        </is>
      </c>
      <c r="F78" s="76" t="n">
        <v>0</v>
      </c>
      <c r="G78" s="60" t="inlineStr">
        <is>
          <t>Journal Article</t>
        </is>
      </c>
      <c r="H78" s="60" t="inlineStr">
        <is>
          <t>Mathematics</t>
        </is>
      </c>
      <c r="I78" s="60" t="inlineStr">
        <is>
          <t>FedLTN-CubeSat: 低軌道キューブサットコンステレーションにおける侵入検知のための神経シンボリック連合学習</t>
        </is>
      </c>
      <c r="J78" s="60" t="inlineStr">
        <is>
          <t>この研究は、低軌道キューブサットコンステレーションにおける侵入検知のための神経シンボリック連合学習を提案しています。</t>
        </is>
      </c>
      <c r="K78" s="60" t="inlineStr">
        <is>
          <t>https://doi.org/10.3390/math14061047</t>
        </is>
      </c>
      <c r="L78" s="60" t="inlineStr">
        <is>
          <t>5d6fe2faeaa63e58b36b981e</t>
        </is>
      </c>
      <c r="M78" s="75" t="inlineStr">
        <is>
          <t>2026-03-20T09:00:00+09:00</t>
        </is>
      </c>
      <c r="N78" s="60" t="inlineStr">
        <is>
          <t>New</t>
        </is>
      </c>
      <c r="O78" s="60" t="inlineStr">
        <is>
          <t>枠: Technology Innovation / 学術区分: Journal Article / 査読表示: Journal record — confirm peer review on publisher page / 掲載誌・学会: Mathematics / 焦点: 宇宙通信システムと侵入検知システム / OpenAlex record; work type=article; citations=7</t>
        </is>
      </c>
    </row>
    <row r="79" ht="42" customHeight="1">
      <c r="A79" s="75" t="inlineStr">
        <is>
          <t>2026-07-26T21:02:36+09:00</t>
        </is>
      </c>
      <c r="B79" s="75" t="inlineStr">
        <is>
          <t>2026-03-19T12:00:00Z</t>
        </is>
      </c>
      <c r="C79" s="60" t="inlineStr">
        <is>
          <t>United States</t>
        </is>
      </c>
      <c r="D79" s="60" t="inlineStr">
        <is>
          <t>United States</t>
        </is>
      </c>
      <c r="E79" s="60" t="inlineStr"/>
      <c r="F79" s="76" t="n">
        <v>4</v>
      </c>
      <c r="G79" s="60" t="inlineStr">
        <is>
          <t>Government</t>
        </is>
      </c>
      <c r="H79" s="60" t="inlineStr">
        <is>
          <t>NIST News</t>
        </is>
      </c>
      <c r="I79" s="60" t="inlineStr">
        <is>
          <t>NISTが議会にFY 2025の国家建設安全チーム調査の進捗を報告</t>
        </is>
      </c>
      <c r="J79" s="60" t="inlineStr">
        <is>
          <t>NISTは、Champlain Towers Southの調査に関する作業の概要を含む報告書を議会に提出しました。</t>
        </is>
      </c>
      <c r="K79" s="60" t="inlineStr">
        <is>
          <t>https://www.nist.gov/news-events/news/2026/03/nist-submits-annual-report-congress-summarizing-fy-2025-progress-national</t>
        </is>
      </c>
      <c r="L79" s="60" t="inlineStr">
        <is>
          <t>e322af74bfc6d82e04e94180</t>
        </is>
      </c>
      <c r="M79" s="75" t="inlineStr">
        <is>
          <t>2026-03-19T21:00:00+09:00</t>
        </is>
      </c>
      <c r="N79" s="60" t="inlineStr">
        <is>
          <t>New</t>
        </is>
      </c>
      <c r="O79" s="60" t="inlineStr">
        <is>
          <t>枠: Innovation Policy / 政策分野: Public Procurement &amp; Industrial Policy / 学術区分: News &amp; Official Release / 焦点: 国家建設安全チームの調査進捗</t>
        </is>
      </c>
    </row>
    <row r="80" ht="42" customHeight="1">
      <c r="A80" s="75" t="inlineStr">
        <is>
          <t>2026-07-26T21:02:36+09:00</t>
        </is>
      </c>
      <c r="B80" s="75" t="inlineStr">
        <is>
          <t>2026-03-14T00:00:00Z</t>
        </is>
      </c>
      <c r="C80" s="60" t="inlineStr">
        <is>
          <t>Global</t>
        </is>
      </c>
      <c r="D80" s="60" t="inlineStr">
        <is>
          <t>Global</t>
        </is>
      </c>
      <c r="E80" s="60" t="inlineStr">
        <is>
          <t>Healthcare | Artificial Intelligence</t>
        </is>
      </c>
      <c r="F80" s="76" t="n">
        <v>0</v>
      </c>
      <c r="G80" s="60" t="inlineStr">
        <is>
          <t>Conference Paper</t>
        </is>
      </c>
      <c r="H80" s="60" t="inlineStr">
        <is>
          <t>Proceedings of the AAAI Conference on Artificial Intelligence</t>
        </is>
      </c>
      <c r="I80" s="60" t="inlineStr">
        <is>
          <t>医療における大規模言語モデルのベンチマーク</t>
        </is>
      </c>
      <c r="J80" s="60" t="inlineStr">
        <is>
          <t>医療における複雑なタスクに対する大規模言語モデルのベンチマークに関する研究が発表されました。</t>
        </is>
      </c>
      <c r="K80" s="60" t="inlineStr">
        <is>
          <t>https://doi.org/10.1609/aaai.v40i45.41243</t>
        </is>
      </c>
      <c r="L80" s="60" t="inlineStr">
        <is>
          <t>2ea42bfe0d086c8df38f95ce</t>
        </is>
      </c>
      <c r="M80" s="75" t="inlineStr">
        <is>
          <t>2026-03-14T09:00:00+09:00</t>
        </is>
      </c>
      <c r="N80" s="60" t="inlineStr">
        <is>
          <t>New</t>
        </is>
      </c>
      <c r="O80" s="60" t="inlineStr">
        <is>
          <t>枠: Technology Innovation / 学術区分: Conference Paper / 査読表示: Conference proceedings — review status varies / 掲載誌・学会: Proceedings of the AAAI Conference on Artificial Intelligence / 焦点: 医療におけるAIの活用 / OpenAlex record; work type=conference-paper; citations=1</t>
        </is>
      </c>
    </row>
    <row r="81" ht="42" customHeight="1">
      <c r="A81" s="75" t="inlineStr">
        <is>
          <t>2026-07-26T21:02:36+09:00</t>
        </is>
      </c>
      <c r="B81" s="75" t="inlineStr">
        <is>
          <t>2026-03-14T00:00:00Z</t>
        </is>
      </c>
      <c r="C81" s="60" t="inlineStr">
        <is>
          <t>Global</t>
        </is>
      </c>
      <c r="D81" s="60" t="inlineStr">
        <is>
          <t>Global</t>
        </is>
      </c>
      <c r="E81" s="60" t="inlineStr">
        <is>
          <t>Healthcare | Artificial Intelligence</t>
        </is>
      </c>
      <c r="F81" s="76" t="n">
        <v>0</v>
      </c>
      <c r="G81" s="60" t="inlineStr">
        <is>
          <t>Conference Paper</t>
        </is>
      </c>
      <c r="H81" s="60" t="inlineStr">
        <is>
          <t>Proceedings of the AAAI Conference on Artificial Intelligence</t>
        </is>
      </c>
      <c r="I81" s="60" t="inlineStr">
        <is>
          <t>希少疾患の診断と治療のための自律型多分野チーム</t>
        </is>
      </c>
      <c r="J81" s="60" t="inlineStr">
        <is>
          <t>希少疾患の診断と治療に向けた自律型多分野チームの研究が発表されました。</t>
        </is>
      </c>
      <c r="K81" s="60" t="inlineStr">
        <is>
          <t>https://doi.org/10.1609/aaai.v40i1.36969</t>
        </is>
      </c>
      <c r="L81" s="60" t="inlineStr">
        <is>
          <t>819111de6bdbb056ff23a177</t>
        </is>
      </c>
      <c r="M81" s="75" t="inlineStr">
        <is>
          <t>2026-03-14T09:00:00+09:00</t>
        </is>
      </c>
      <c r="N81" s="60" t="inlineStr">
        <is>
          <t>New</t>
        </is>
      </c>
      <c r="O81" s="60" t="inlineStr">
        <is>
          <t>枠: Technology Innovation / 学術区分: Conference Paper / 査読表示: Conference proceedings — review status varies / 掲載誌・学会: Proceedings of the AAAI Conference on Artificial Intelligence / 焦点: 希少疾患の診断と治療におけるAIの活用 / OpenAlex record; work type=conference-paper; citations=1</t>
        </is>
      </c>
    </row>
    <row r="82" ht="42" customHeight="1">
      <c r="A82" s="75" t="inlineStr">
        <is>
          <t>2026-07-26T21:02:36+09:00</t>
        </is>
      </c>
      <c r="B82" s="75" t="inlineStr">
        <is>
          <t>2026-03-13T00:00:00Z</t>
        </is>
      </c>
      <c r="C82" s="60" t="inlineStr">
        <is>
          <t>Global</t>
        </is>
      </c>
      <c r="D82" s="60" t="inlineStr">
        <is>
          <t>Global</t>
        </is>
      </c>
      <c r="E82" s="60" t="inlineStr">
        <is>
          <t>Space</t>
        </is>
      </c>
      <c r="F82" s="76" t="n">
        <v>0</v>
      </c>
      <c r="G82" s="60" t="inlineStr">
        <is>
          <t>Preprint</t>
        </is>
      </c>
      <c r="H82" s="60" t="inlineStr">
        <is>
          <t>arXiv (Cornell University)</t>
        </is>
      </c>
      <c r="I82" s="60" t="inlineStr">
        <is>
          <t>太陽風における宇宙船の後流</t>
        </is>
      </c>
      <c r="J82" s="60" t="inlineStr">
        <is>
          <t>太陽風における宇宙船の後流に関する研究が発表されました。</t>
        </is>
      </c>
      <c r="K82" s="60" t="inlineStr">
        <is>
          <t>https://doi.org/10.48550/arxiv.2603.12860</t>
        </is>
      </c>
      <c r="L82" s="60" t="inlineStr">
        <is>
          <t>46df327edbda9cbcb65c531c</t>
        </is>
      </c>
      <c r="M82" s="75" t="inlineStr">
        <is>
          <t>2026-03-13T09:00:00+09:00</t>
        </is>
      </c>
      <c r="N82" s="60" t="inlineStr">
        <is>
          <t>New</t>
        </is>
      </c>
      <c r="O82" s="60" t="inlineStr">
        <is>
          <t>枠: Technology Innovation / 学術区分: Preprint / 査読表示: Not peer reviewed / 掲載誌・学会: arXiv (Cornell University) / 焦点: 宇宙プラズマダイナミクス / OpenAlex record; work type=preprint; citations=6</t>
        </is>
      </c>
    </row>
    <row r="83" ht="42" customHeight="1">
      <c r="A83" s="75" t="inlineStr">
        <is>
          <t>2026-07-26T21:02:36+09:00</t>
        </is>
      </c>
      <c r="B83" s="75" t="inlineStr">
        <is>
          <t>2026-03-11T00:00:00Z</t>
        </is>
      </c>
      <c r="C83" s="60" t="inlineStr">
        <is>
          <t>Global</t>
        </is>
      </c>
      <c r="D83" s="60" t="inlineStr">
        <is>
          <t>Global</t>
        </is>
      </c>
      <c r="E83" s="60" t="inlineStr">
        <is>
          <t>Semiconductors &amp; Telecom</t>
        </is>
      </c>
      <c r="F83" s="76" t="n">
        <v>1</v>
      </c>
      <c r="G83" s="60" t="inlineStr">
        <is>
          <t>Journal Article</t>
        </is>
      </c>
      <c r="H83" s="60" t="inlineStr">
        <is>
          <t>Electronics</t>
        </is>
      </c>
      <c r="I83" s="60" t="inlineStr">
        <is>
          <t>6G通信アンテナ技術の研究進展</t>
        </is>
      </c>
      <c r="J83" s="60" t="inlineStr">
        <is>
          <t>6G通信におけるアンテナ技術の研究進展についてのレビューが発表されました。</t>
        </is>
      </c>
      <c r="K83" s="60" t="inlineStr">
        <is>
          <t>https://doi.org/10.3390/electronics15061173</t>
        </is>
      </c>
      <c r="L83" s="60" t="inlineStr">
        <is>
          <t>57024341e7150ff310f53441</t>
        </is>
      </c>
      <c r="M83" s="75" t="inlineStr">
        <is>
          <t>2026-03-11T09:00:00+09:00</t>
        </is>
      </c>
      <c r="N83" s="60" t="inlineStr">
        <is>
          <t>New</t>
        </is>
      </c>
      <c r="O83" s="60" t="inlineStr">
        <is>
          <t>枠: Technology Innovation / 学術区分: Journal Article / 査読表示: Journal record — confirm peer review on publisher page / 掲載誌・学会: Electronics / 焦点: 6G通信アンテナ技術の研究進展 / OpenAlex record; work type=article; citations=1</t>
        </is>
      </c>
    </row>
    <row r="84" ht="42" customHeight="1">
      <c r="A84" s="75" t="inlineStr">
        <is>
          <t>2026-07-26T21:02:36+09:00</t>
        </is>
      </c>
      <c r="B84" s="75" t="inlineStr">
        <is>
          <t>2026-03-10T00:00:00Z</t>
        </is>
      </c>
      <c r="C84" s="60" t="inlineStr">
        <is>
          <t>Global</t>
        </is>
      </c>
      <c r="D84" s="60" t="inlineStr">
        <is>
          <t>Global</t>
        </is>
      </c>
      <c r="E84" s="60" t="inlineStr">
        <is>
          <t>Space</t>
        </is>
      </c>
      <c r="F84" s="76" t="n">
        <v>0</v>
      </c>
      <c r="G84" s="60" t="inlineStr">
        <is>
          <t>Journal Article</t>
        </is>
      </c>
      <c r="H84" s="60" t="inlineStr">
        <is>
          <t>Virtual and Physical Prototyping</t>
        </is>
      </c>
      <c r="I84" s="60" t="inlineStr">
        <is>
          <t>宇宙製造におけるデジタルツインの包括的レビュー</t>
        </is>
      </c>
      <c r="J84" s="60" t="inlineStr">
        <is>
          <t>宇宙製造におけるデジタルツインの活用に関する包括的なレビューが発表されました。</t>
        </is>
      </c>
      <c r="K84" s="60" t="inlineStr">
        <is>
          <t>https://doi.org/10.1080/17452759.2026.2639147</t>
        </is>
      </c>
      <c r="L84" s="60" t="inlineStr">
        <is>
          <t>885d28facd82d772f140e913</t>
        </is>
      </c>
      <c r="M84" s="75" t="inlineStr">
        <is>
          <t>2026-03-10T09:00:00+09:00</t>
        </is>
      </c>
      <c r="N84" s="60" t="inlineStr">
        <is>
          <t>New</t>
        </is>
      </c>
      <c r="O84" s="60" t="inlineStr">
        <is>
          <t>枠: Technology Innovation / 学術区分: Journal Article / 査読表示: Journal record — confirm peer review on publisher page / 掲載誌・学会: Virtual and Physical Prototyping / 焦点: 宇宙製造におけるデジタルツインの活用 / OpenAlex record; work type=article; citations=2</t>
        </is>
      </c>
    </row>
    <row r="85" ht="42" customHeight="1">
      <c r="A85" s="75" t="inlineStr">
        <is>
          <t>2026-07-26T21:02:36+09:00</t>
        </is>
      </c>
      <c r="B85" s="75" t="inlineStr">
        <is>
          <t>2026-03-10T00:00:00Z</t>
        </is>
      </c>
      <c r="C85" s="60" t="inlineStr">
        <is>
          <t>Global</t>
        </is>
      </c>
      <c r="D85" s="60" t="inlineStr">
        <is>
          <t>Global</t>
        </is>
      </c>
      <c r="E85" s="60" t="inlineStr">
        <is>
          <t>Robotics | Artificial Intelligence</t>
        </is>
      </c>
      <c r="F85" s="76" t="n">
        <v>0</v>
      </c>
      <c r="G85" s="60" t="inlineStr">
        <is>
          <t>Conference Paper</t>
        </is>
      </c>
      <c r="H85" s="60" t="inlineStr">
        <is>
          <t>OpenAlex Conference Papers</t>
        </is>
      </c>
      <c r="I85" s="60" t="inlineStr">
        <is>
          <t>ロボットとの対話による公衆の認識形成</t>
        </is>
      </c>
      <c r="J85" s="60" t="inlineStr">
        <is>
          <t>ロボットとの対話を通じて公衆の認識を形成する研究が発表されました。</t>
        </is>
      </c>
      <c r="K85" s="60" t="inlineStr">
        <is>
          <t>https://doi.org/10.1145/3757279.3785600</t>
        </is>
      </c>
      <c r="L85" s="60" t="inlineStr">
        <is>
          <t>921d3c21d3095bd95d28b7e4</t>
        </is>
      </c>
      <c r="M85" s="75" t="inlineStr">
        <is>
          <t>2026-03-10T09:00:00+09:00</t>
        </is>
      </c>
      <c r="N85" s="60" t="inlineStr">
        <is>
          <t>New</t>
        </is>
      </c>
      <c r="O85" s="60" t="inlineStr">
        <is>
          <t>枠: Technology Innovation / 学術区分: Conference Paper / 査読表示: Conference proceedings — review status varies / 焦点: ロボットとの対話における公衆の認識 / OpenAlex record; work type=conference-paper; citations=2</t>
        </is>
      </c>
    </row>
    <row r="86" ht="42" customHeight="1">
      <c r="A86" s="75" t="inlineStr">
        <is>
          <t>2026-07-26T21:02:36+09:00</t>
        </is>
      </c>
      <c r="B86" s="75" t="inlineStr">
        <is>
          <t>2026-03-04T14:57:24Z</t>
        </is>
      </c>
      <c r="C86" s="60" t="inlineStr">
        <is>
          <t>EU &amp; Europe</t>
        </is>
      </c>
      <c r="D86" s="60" t="inlineStr">
        <is>
          <t>China / Germany</t>
        </is>
      </c>
      <c r="E86" s="60" t="inlineStr">
        <is>
          <t>Biotechnology</t>
        </is>
      </c>
      <c r="F86" s="76" t="n">
        <v>3</v>
      </c>
      <c r="G86" s="60" t="inlineStr">
        <is>
          <t>Policy Institute</t>
        </is>
      </c>
      <c r="H86" s="60" t="inlineStr">
        <is>
          <t>MERICS</t>
        </is>
      </c>
      <c r="I86" s="60" t="inlineStr">
        <is>
          <t>アストラゼネカ、中国を製薬イノベーションのハブに</t>
        </is>
      </c>
      <c r="J86" s="60" t="inlineStr">
        <is>
          <t>アストラゼネカが2030年までに中国の研究開発に150億ドルを投資する計画を発表。</t>
        </is>
      </c>
      <c r="K86" s="60" t="inlineStr">
        <is>
          <t>https://merics.org/en/comment/astrazenecas-rd-bet-makes-china-pharma-innovation-hub</t>
        </is>
      </c>
      <c r="L86" s="60" t="inlineStr">
        <is>
          <t>1c2d02bf178504dd287a6106</t>
        </is>
      </c>
      <c r="M86" s="75" t="inlineStr">
        <is>
          <t>2026-03-04T23:57:24+09:00</t>
        </is>
      </c>
      <c r="N86" s="60" t="inlineStr">
        <is>
          <t>New</t>
        </is>
      </c>
      <c r="O86" s="60" t="inlineStr">
        <is>
          <t>枠: Innovation Policy / 政策分野: Regulation &amp; Governance / 学術区分: News &amp; Official Release / 焦点: バイオテクノロジー産業の規制 / Historical backfill from an allowlisted source.</t>
        </is>
      </c>
    </row>
    <row r="87" ht="42" customHeight="1">
      <c r="A87" s="75" t="inlineStr">
        <is>
          <t>2026-07-26T21:02:36+09:00</t>
        </is>
      </c>
      <c r="B87" s="75" t="inlineStr">
        <is>
          <t>2026-03-03T00:00:00Z</t>
        </is>
      </c>
      <c r="C87" s="60" t="inlineStr">
        <is>
          <t>Global</t>
        </is>
      </c>
      <c r="D87" s="60" t="inlineStr">
        <is>
          <t>Global</t>
        </is>
      </c>
      <c r="E87" s="60" t="inlineStr">
        <is>
          <t>Semiconductors &amp; Telecom</t>
        </is>
      </c>
      <c r="F87" s="76" t="n">
        <v>0</v>
      </c>
      <c r="G87" s="60" t="inlineStr">
        <is>
          <t>Journal Article</t>
        </is>
      </c>
      <c r="H87" s="60" t="inlineStr">
        <is>
          <t>Light Science &amp; Applications</t>
        </is>
      </c>
      <c r="I87" s="60" t="inlineStr">
        <is>
          <t>共振器強化型分散ブラッグ反射器レーザー</t>
        </is>
      </c>
      <c r="J87" s="60" t="inlineStr">
        <is>
          <t>分散ブラッグ反射器レーザーに関する先進的な技術について述べる。</t>
        </is>
      </c>
      <c r="K87" s="60" t="inlineStr">
        <is>
          <t>https://doi.org/10.1038/s41377-026-02249-x</t>
        </is>
      </c>
      <c r="L87" s="60" t="inlineStr">
        <is>
          <t>2b68603f6c27927e4e6fbcdf</t>
        </is>
      </c>
      <c r="M87" s="75" t="inlineStr">
        <is>
          <t>2026-03-03T09:00:00+09:00</t>
        </is>
      </c>
      <c r="N87" s="60" t="inlineStr">
        <is>
          <t>New</t>
        </is>
      </c>
      <c r="O87" s="60" t="inlineStr">
        <is>
          <t>枠: Technology Innovation / 学術区分: Journal Article / 査読表示: Journal record — confirm peer review on publisher page / 掲載誌・学会: Light Science &amp; Applications / 焦点: 分散ブラッグ反射器レーザー / OpenAlex record; work type=article; citations=1</t>
        </is>
      </c>
    </row>
    <row r="88" ht="42" customHeight="1">
      <c r="A88" s="75" t="inlineStr">
        <is>
          <t>2026-07-26T21:02:36+09:00</t>
        </is>
      </c>
      <c r="B88" s="75" t="inlineStr">
        <is>
          <t>2026-03-02T00:00:00Z</t>
        </is>
      </c>
      <c r="C88" s="60" t="inlineStr">
        <is>
          <t>Global</t>
        </is>
      </c>
      <c r="D88" s="60" t="inlineStr">
        <is>
          <t>Global</t>
        </is>
      </c>
      <c r="E88" s="60" t="inlineStr">
        <is>
          <t>Semiconductors &amp; Telecom</t>
        </is>
      </c>
      <c r="F88" s="76" t="n">
        <v>0</v>
      </c>
      <c r="G88" s="60" t="inlineStr">
        <is>
          <t>Journal Article</t>
        </is>
      </c>
      <c r="H88" s="60" t="inlineStr">
        <is>
          <t>Sensors</t>
        </is>
      </c>
      <c r="I88" s="60" t="inlineStr">
        <is>
          <t>VIS–NIRスペクトルで動作する光学ガスセンサーの進展</t>
        </is>
      </c>
      <c r="J88" s="60" t="inlineStr">
        <is>
          <t>光学ガスセンサーの構造、材料、性能に関する進展を述べる。</t>
        </is>
      </c>
      <c r="K88" s="60" t="inlineStr">
        <is>
          <t>https://doi.org/10.3390/s26051568</t>
        </is>
      </c>
      <c r="L88" s="60" t="inlineStr">
        <is>
          <t>2c9e1a33e74e24a3f068c18e</t>
        </is>
      </c>
      <c r="M88" s="75" t="inlineStr">
        <is>
          <t>2026-03-02T09:00:00+09:00</t>
        </is>
      </c>
      <c r="N88" s="60" t="inlineStr">
        <is>
          <t>New</t>
        </is>
      </c>
      <c r="O88" s="60" t="inlineStr">
        <is>
          <t>枠: Technology Innovation / 学術区分: Journal Article / 査読表示: Journal record — confirm peer review on publisher page / 掲載誌・学会: Sensors / 焦点: 光学ガスセンサー / OpenAlex record; work type=article; citations=1</t>
        </is>
      </c>
    </row>
    <row r="89" ht="42" customHeight="1">
      <c r="A89" s="75" t="inlineStr">
        <is>
          <t>2026-07-26T21:02:36+09:00</t>
        </is>
      </c>
      <c r="B89" s="75" t="inlineStr">
        <is>
          <t>2026-02-28T00:00:00Z</t>
        </is>
      </c>
      <c r="C89" s="60" t="inlineStr">
        <is>
          <t>Global</t>
        </is>
      </c>
      <c r="D89" s="60" t="inlineStr">
        <is>
          <t>Global</t>
        </is>
      </c>
      <c r="E89" s="60" t="inlineStr">
        <is>
          <t>Artificial Intelligence</t>
        </is>
      </c>
      <c r="F89" s="76" t="n">
        <v>0</v>
      </c>
      <c r="G89" s="60" t="inlineStr">
        <is>
          <t>Journal Article</t>
        </is>
      </c>
      <c r="H89" s="60" t="inlineStr">
        <is>
          <t>Future Internet</t>
        </is>
      </c>
      <c r="I89" s="60" t="inlineStr">
        <is>
          <t>マルチチャネル空中レーダーシステムにおけるAIベースの攻撃検出</t>
        </is>
      </c>
      <c r="J89" s="60" t="inlineStr">
        <is>
          <t>AIを用いたLED VLCにおける攻撃検出技術について述べる。</t>
        </is>
      </c>
      <c r="K89" s="60" t="inlineStr">
        <is>
          <t>https://doi.org/10.3390/fi18030124</t>
        </is>
      </c>
      <c r="L89" s="60" t="inlineStr">
        <is>
          <t>72abc9f1c55ab781464c0667</t>
        </is>
      </c>
      <c r="M89" s="75" t="inlineStr">
        <is>
          <t>2026-02-28T09:00:00+09:00</t>
        </is>
      </c>
      <c r="N89" s="60" t="inlineStr">
        <is>
          <t>New</t>
        </is>
      </c>
      <c r="O89" s="60" t="inlineStr">
        <is>
          <t>枠: Technology Innovation / 学術区分: Journal Article / 査読表示: Journal record — confirm peer review on publisher page / 掲載誌・学会: Future Internet / 焦点: AIを用いた攻撃検出技術 / OpenAlex record; work type=article; citations=13</t>
        </is>
      </c>
    </row>
    <row r="90" ht="42" customHeight="1">
      <c r="A90" s="75" t="inlineStr">
        <is>
          <t>2026-07-26T21:02:36+09:00</t>
        </is>
      </c>
      <c r="B90" s="75" t="inlineStr">
        <is>
          <t>2026-02-20T00:00:00Z</t>
        </is>
      </c>
      <c r="C90" s="60" t="inlineStr">
        <is>
          <t>Global</t>
        </is>
      </c>
      <c r="D90" s="60" t="inlineStr">
        <is>
          <t>Global</t>
        </is>
      </c>
      <c r="E90" s="60" t="inlineStr">
        <is>
          <t>Biotechnology</t>
        </is>
      </c>
      <c r="F90" s="76" t="n">
        <v>0</v>
      </c>
      <c r="G90" s="60" t="inlineStr">
        <is>
          <t>Journal Article</t>
        </is>
      </c>
      <c r="H90" s="60" t="inlineStr">
        <is>
          <t>Frontiers in Microbiology</t>
        </is>
      </c>
      <c r="I90" s="60" t="inlineStr">
        <is>
          <t>植物-土壌-微生物相互作用：持続可能な農業と健康な生態系におけるメカニズム、進展、課題</t>
        </is>
      </c>
      <c r="J90" s="60" t="inlineStr">
        <is>
          <t>持続可能な農業における植物と土壌、微生物の相互作用についての研究をまとめた。</t>
        </is>
      </c>
      <c r="K90" s="60" t="inlineStr">
        <is>
          <t>https://doi.org/10.3389/fmicb.2026.1762743</t>
        </is>
      </c>
      <c r="L90" s="60" t="inlineStr">
        <is>
          <t>1d30f53f097ef24f90c091cf</t>
        </is>
      </c>
      <c r="M90" s="75" t="inlineStr">
        <is>
          <t>2026-02-20T09:00:00+09:00</t>
        </is>
      </c>
      <c r="N90" s="60" t="inlineStr">
        <is>
          <t>New</t>
        </is>
      </c>
      <c r="O90" s="60" t="inlineStr">
        <is>
          <t>枠: Technology Innovation / 学術区分: Journal Article / 査読表示: Journal record — confirm peer review on publisher page / 掲載誌・学会: Frontiers in Microbiology / 焦点: 植物-土壌-微生物相互作用 / OpenAlex record; work type=article; citations=10</t>
        </is>
      </c>
    </row>
    <row r="91" ht="42" customHeight="1">
      <c r="A91" s="75" t="inlineStr">
        <is>
          <t>2026-07-26T21:02:36+09:00</t>
        </is>
      </c>
      <c r="B91" s="75" t="inlineStr">
        <is>
          <t>2026-02-10T12:00:00Z</t>
        </is>
      </c>
      <c r="C91" s="60" t="inlineStr">
        <is>
          <t>United States</t>
        </is>
      </c>
      <c r="D91" s="60" t="inlineStr">
        <is>
          <t>United States</t>
        </is>
      </c>
      <c r="E91" s="60" t="inlineStr">
        <is>
          <t>Biotechnology | Artificial Intelligence | Semiconductors &amp; Telecom | Quantum</t>
        </is>
      </c>
      <c r="F91" s="76" t="n">
        <v>3</v>
      </c>
      <c r="G91" s="60" t="inlineStr">
        <is>
          <t>Government</t>
        </is>
      </c>
      <c r="H91" s="60" t="inlineStr">
        <is>
          <t>NIST News</t>
        </is>
      </c>
      <c r="I91" s="60" t="inlineStr">
        <is>
          <t>NISTがAI、バイオテクノロジー、半導体、量子技術を進展させる小規模企業に300万ドル以上を配分</t>
        </is>
      </c>
      <c r="J91" s="60" t="inlineStr">
        <is>
          <t>NISTはSBIRプログラムの下で、7つの州にある8つの小規模企業に資金を配分することを発表した。</t>
        </is>
      </c>
      <c r="K91" s="60" t="inlineStr">
        <is>
          <t>https://www.nist.gov/news-events/news/2026/02/nist-allocates-over-3-million-small-businesses-advancing-ai-biotechnology</t>
        </is>
      </c>
      <c r="L91" s="60" t="inlineStr">
        <is>
          <t>2700025a185e7f6eb2253ff3</t>
        </is>
      </c>
      <c r="M91" s="75" t="inlineStr">
        <is>
          <t>2026-02-10T21:00:00+09:00</t>
        </is>
      </c>
      <c r="N91" s="60" t="inlineStr">
        <is>
          <t>New</t>
        </is>
      </c>
      <c r="O91" s="60" t="inlineStr">
        <is>
          <t>枠: Innovation Policy / 政策分野: Public Procurement &amp; Industrial Policy / 学術区分: News &amp; Official Release / 焦点: AI、バイオテクノロジー、半導体、量子技術に関する資金配分</t>
        </is>
      </c>
    </row>
  </sheetData>
  <autoFilter ref="A3:O9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9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s>
  <pageMargins left="0.7" right="0.7" top="0.75" bottom="0.75" header="0.3" footer="0.3"/>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sheetPr>
  <dimension ref="A1:K50"/>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s>
  <sheetData>
    <row r="1" ht="34" customHeight="1">
      <c r="A1" s="4" t="inlineStr">
        <is>
          <t>Source Registry</t>
        </is>
      </c>
    </row>
    <row r="2" ht="25" customHeight="1">
      <c r="A2" s="67" t="inlineStr">
        <is>
          <t>Allowlist: government, official companies, major media, policy institutes, and leading journals</t>
        </is>
      </c>
      <c r="B2" s="68" t="n"/>
      <c r="C2" s="68" t="n"/>
      <c r="D2" s="68" t="n"/>
      <c r="E2" s="68" t="n"/>
      <c r="F2" s="68" t="n"/>
      <c r="G2" s="68" t="n"/>
      <c r="H2" s="68" t="n"/>
      <c r="I2" s="68" t="n"/>
      <c r="J2" s="68" t="n"/>
      <c r="K2" s="6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76" t="n">
        <v>5</v>
      </c>
      <c r="J4" s="60" t="inlineStr">
        <is>
          <t>Yes</t>
        </is>
      </c>
      <c r="K4" s="60" t="inlineStr">
        <is>
          <t>Established global business and policy news.</t>
        </is>
      </c>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76" t="n">
        <v>4</v>
      </c>
      <c r="J5" s="60" t="inlineStr">
        <is>
          <t>Yes</t>
        </is>
      </c>
      <c r="K5" s="60" t="inlineStr">
        <is>
          <t>Broad science coverage; topic filter is applied.</t>
        </is>
      </c>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76" t="n">
        <v>4</v>
      </c>
      <c r="J6" s="60" t="inlineStr">
        <is>
          <t>Yes</t>
        </is>
      </c>
      <c r="K6" s="60" t="inlineStr">
        <is>
          <t>Official BBC technology feed; strict innovation-scope review is applied.</t>
        </is>
      </c>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76" t="n">
        <v>4</v>
      </c>
      <c r="J7" s="60" t="inlineStr">
        <is>
          <t>Yes</t>
        </is>
      </c>
      <c r="K7" s="60" t="inlineStr">
        <is>
          <t>Official New York Times technology feed; strict innovation-scope review is applied.</t>
        </is>
      </c>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76" t="n">
        <v>4</v>
      </c>
      <c r="J8" s="60" t="inlineStr">
        <is>
          <t>Yes</t>
        </is>
      </c>
      <c r="K8" s="60" t="inlineStr">
        <is>
          <t>Official New York Times science feed; strict innovation-scope review is applied.</t>
        </is>
      </c>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76" t="n">
        <v>5</v>
      </c>
      <c r="J9" s="60" t="inlineStr">
        <is>
          <t>Yes</t>
        </is>
      </c>
      <c r="K9" s="60" t="inlineStr">
        <is>
          <t>Official Japanese science and technology policy institute feed.</t>
        </is>
      </c>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76" t="n">
        <v>3</v>
      </c>
      <c r="J10" s="60" t="inlineStr">
        <is>
          <t>Yes</t>
        </is>
      </c>
      <c r="K10" s="60" t="inlineStr">
        <is>
          <t>Major media; strict topic filter is applied.</t>
        </is>
      </c>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76" t="n">
        <v>4</v>
      </c>
      <c r="J11" s="60" t="inlineStr">
        <is>
          <t>Yes</t>
        </is>
      </c>
      <c r="K11" s="60" t="inlineStr">
        <is>
          <t>Established specialist publication.</t>
        </is>
      </c>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76" t="n">
        <v>4</v>
      </c>
      <c r="J12" s="60" t="inlineStr">
        <is>
          <t>Yes</t>
        </is>
      </c>
      <c r="K12" s="60" t="inlineStr">
        <is>
          <t>IEEE editorial publication.</t>
        </is>
      </c>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76" t="n">
        <v>4</v>
      </c>
      <c r="J13" s="60" t="inlineStr">
        <is>
          <t>Yes</t>
        </is>
      </c>
      <c r="K13" s="60" t="inlineStr">
        <is>
          <t>Leading scientific publication; innovation-topic filter is applied.</t>
        </is>
      </c>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https://www.science.org/action/showFeed?type=etoc&amp;feed=rss&amp;jc=science</t>
        </is>
      </c>
      <c r="H14" s="60" t="inlineStr">
        <is>
          <t>https://www.science.org/</t>
        </is>
      </c>
      <c r="I14" s="76" t="n">
        <v>4</v>
      </c>
      <c r="J14" s="60" t="inlineStr">
        <is>
          <t>Yes</t>
        </is>
      </c>
      <c r="K14" s="60" t="inlineStr">
        <is>
          <t>Leading scientific publication; the publisher may rate-limit automated access.</t>
        </is>
      </c>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76" t="n">
        <v>4</v>
      </c>
      <c r="J15" s="60" t="inlineStr">
        <is>
          <t>Yes</t>
        </is>
      </c>
      <c r="K15" s="60" t="inlineStr">
        <is>
          <t>Major Asia-focused technology media; only /tech/ article URLs are accepted.</t>
        </is>
      </c>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https://www.arabnews.com/taxonomy/term/2936/feed</t>
        </is>
      </c>
      <c r="H16" s="60" t="inlineStr">
        <is>
          <t>https://www.arabnews.com/tags/technology</t>
        </is>
      </c>
      <c r="I16" s="76" t="n">
        <v>3</v>
      </c>
      <c r="J16" s="60" t="inlineStr">
        <is>
          <t>Yes</t>
        </is>
      </c>
      <c r="K16" s="60" t="inlineStr">
        <is>
          <t>Established regional media; topic filter is applied.</t>
        </is>
      </c>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76" t="n">
        <v>4</v>
      </c>
      <c r="J17" s="60" t="inlineStr">
        <is>
          <t>Yes</t>
        </is>
      </c>
      <c r="K17" s="60" t="inlineStr">
        <is>
          <t>Established UAE-based regional newspaper; official technology feed.</t>
        </is>
      </c>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76" t="n">
        <v>5</v>
      </c>
      <c r="J18" s="60" t="inlineStr">
        <is>
          <t>No</t>
        </is>
      </c>
      <c r="K18" s="60" t="inlineStr">
        <is>
          <t>Technology-policy analysis from Brookings; official listing-page fallback.</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76" t="n">
        <v>4</v>
      </c>
      <c r="J19" s="60" t="inlineStr">
        <is>
          <t>Yes</t>
        </is>
      </c>
      <c r="K19" s="60" t="inlineStr">
        <is>
          <t>Broad analysis feed; innovation-topic filter is applied.</t>
        </is>
      </c>
    </row>
    <row r="20" ht="36" customHeight="1">
      <c r="A20" s="60" t="inlineStr">
        <is>
          <t>Yes</t>
        </is>
      </c>
      <c r="B20" s="60" t="inlineStr">
        <is>
          <t>United States</t>
        </is>
      </c>
      <c r="C20" s="60" t="inlineStr">
        <is>
          <t>United States</t>
        </is>
      </c>
      <c r="D20" s="60" t="inlineStr">
        <is>
          <t>Emerging technology policy</t>
        </is>
      </c>
      <c r="E20" s="60" t="inlineStr">
        <is>
          <t>CSET</t>
        </is>
      </c>
      <c r="F20" s="60" t="inlineStr">
        <is>
          <t>Center for Security and Emerging Technology</t>
        </is>
      </c>
      <c r="G20" s="60" t="inlineStr">
        <is>
          <t>https://cset.georgetown.edu/feed/</t>
        </is>
      </c>
      <c r="H20" s="60" t="inlineStr">
        <is>
          <t>https://cset.georgetown.edu/</t>
        </is>
      </c>
      <c r="I20" s="76" t="n">
        <v>5</v>
      </c>
      <c r="J20" s="60" t="inlineStr">
        <is>
          <t>Yes</t>
        </is>
      </c>
      <c r="K20" s="60" t="inlineStr">
        <is>
          <t>University-based emerging-technology policy center.</t>
        </is>
      </c>
    </row>
    <row r="21" ht="36" customHeight="1">
      <c r="A21" s="60" t="inlineStr">
        <is>
          <t>Yes</t>
        </is>
      </c>
      <c r="B21" s="60" t="inlineStr">
        <is>
          <t>EU &amp; Europe</t>
        </is>
      </c>
      <c r="C21" s="60" t="inlineStr">
        <is>
          <t>Belgium</t>
        </is>
      </c>
      <c r="D21" s="60" t="inlineStr">
        <is>
          <t>Economic and innovation policy</t>
        </is>
      </c>
      <c r="E21" s="60" t="inlineStr">
        <is>
          <t>Bruegel</t>
        </is>
      </c>
      <c r="F21" s="60" t="inlineStr">
        <is>
          <t>Bruegel</t>
        </is>
      </c>
      <c r="G21" s="60" t="inlineStr">
        <is>
          <t>https://www.bruegel.org/rss.xml</t>
        </is>
      </c>
      <c r="H21" s="60" t="inlineStr">
        <is>
          <t>https://www.bruegel.org/</t>
        </is>
      </c>
      <c r="I21" s="76" t="n">
        <v>4</v>
      </c>
      <c r="J21" s="60" t="inlineStr">
        <is>
          <t>Yes</t>
        </is>
      </c>
      <c r="K21" s="60" t="inlineStr">
        <is>
          <t>European economic-policy institute.</t>
        </is>
      </c>
    </row>
    <row r="22" ht="36" customHeight="1">
      <c r="A22" s="60" t="inlineStr">
        <is>
          <t>Yes</t>
        </is>
      </c>
      <c r="B22" s="60" t="inlineStr">
        <is>
          <t>Asia</t>
        </is>
      </c>
      <c r="C22" s="60" t="inlineStr">
        <is>
          <t>China / Germany</t>
        </is>
      </c>
      <c r="D22" s="60" t="inlineStr">
        <is>
          <t>China technology and industrial policy</t>
        </is>
      </c>
      <c r="E22" s="60" t="inlineStr">
        <is>
          <t>MERICS</t>
        </is>
      </c>
      <c r="F22" s="60" t="inlineStr">
        <is>
          <t>Mercator Institute for China Studies</t>
        </is>
      </c>
      <c r="G22" s="60" t="inlineStr">
        <is>
          <t>https://merics.org/en/rss.xml</t>
        </is>
      </c>
      <c r="H22" s="60" t="inlineStr">
        <is>
          <t>https://merics.org/en</t>
        </is>
      </c>
      <c r="I22" s="76" t="n">
        <v>4</v>
      </c>
      <c r="J22" s="60" t="inlineStr">
        <is>
          <t>Yes</t>
        </is>
      </c>
      <c r="K22" s="60" t="inlineStr">
        <is>
          <t>China-focused policy institute.</t>
        </is>
      </c>
    </row>
    <row r="23" ht="36" customHeight="1">
      <c r="A23" s="60" t="inlineStr">
        <is>
          <t>Yes</t>
        </is>
      </c>
      <c r="B23" s="60" t="inlineStr">
        <is>
          <t>United States</t>
        </is>
      </c>
      <c r="C23" s="60" t="inlineStr">
        <is>
          <t>United States</t>
        </is>
      </c>
      <c r="D23" s="60" t="inlineStr">
        <is>
          <t>Research policy and science</t>
        </is>
      </c>
      <c r="E23" s="60" t="inlineStr">
        <is>
          <t>National Science Foundation News</t>
        </is>
      </c>
      <c r="F23" s="60" t="inlineStr">
        <is>
          <t>U.S. National Science Foundation</t>
        </is>
      </c>
      <c r="G23" s="60" t="inlineStr">
        <is>
          <t>https://www.nsf.gov/rss/rss_www_news.xml</t>
        </is>
      </c>
      <c r="H23" s="60" t="inlineStr">
        <is>
          <t>https://www.nsf.gov/news</t>
        </is>
      </c>
      <c r="I23" s="76" t="n">
        <v>5</v>
      </c>
      <c r="J23" s="60" t="inlineStr">
        <is>
          <t>Yes</t>
        </is>
      </c>
      <c r="K23" s="60" t="inlineStr">
        <is>
          <t>Official U.S. government source.</t>
        </is>
      </c>
    </row>
    <row r="24" ht="36" customHeight="1">
      <c r="A24" s="60" t="inlineStr">
        <is>
          <t>Yes</t>
        </is>
      </c>
      <c r="B24" s="60" t="inlineStr">
        <is>
          <t>United States</t>
        </is>
      </c>
      <c r="C24" s="60" t="inlineStr">
        <is>
          <t>United States</t>
        </is>
      </c>
      <c r="D24" s="60" t="inlineStr">
        <is>
          <t>Standards, science and industrial policy</t>
        </is>
      </c>
      <c r="E24" s="60" t="inlineStr">
        <is>
          <t>NIST News</t>
        </is>
      </c>
      <c r="F24" s="60" t="inlineStr">
        <is>
          <t>National Institute of Standards and Technology</t>
        </is>
      </c>
      <c r="G24" s="60" t="inlineStr">
        <is>
          <t>https://www.nist.gov/news-events/news/rss.xml</t>
        </is>
      </c>
      <c r="H24" s="60" t="inlineStr">
        <is>
          <t>https://www.nist.gov/news-events/news</t>
        </is>
      </c>
      <c r="I24" s="76" t="n">
        <v>5</v>
      </c>
      <c r="J24" s="60" t="inlineStr">
        <is>
          <t>Yes</t>
        </is>
      </c>
      <c r="K24" s="60" t="inlineStr">
        <is>
          <t>Official U.S. government source.</t>
        </is>
      </c>
    </row>
    <row r="25" ht="36" customHeight="1">
      <c r="A25" s="60" t="inlineStr">
        <is>
          <t>Yes</t>
        </is>
      </c>
      <c r="B25" s="60" t="inlineStr">
        <is>
          <t>United States</t>
        </is>
      </c>
      <c r="C25" s="60" t="inlineStr">
        <is>
          <t>United States</t>
        </is>
      </c>
      <c r="D25" s="60" t="inlineStr">
        <is>
          <t>Biotechnology and healthcare</t>
        </is>
      </c>
      <c r="E25" s="60" t="inlineStr">
        <is>
          <t>NIH News Releases</t>
        </is>
      </c>
      <c r="F25" s="60" t="inlineStr">
        <is>
          <t>U.S. National Institutes of Health</t>
        </is>
      </c>
      <c r="G25" s="60" t="inlineStr">
        <is>
          <t>https://www.nih.gov/news-events/news-releases/rss.xml</t>
        </is>
      </c>
      <c r="H25" s="60" t="inlineStr">
        <is>
          <t>https://www.nih.gov/news-events/news-releases</t>
        </is>
      </c>
      <c r="I25" s="76" t="n">
        <v>5</v>
      </c>
      <c r="J25" s="60" t="inlineStr">
        <is>
          <t>Yes</t>
        </is>
      </c>
      <c r="K25" s="60" t="inlineStr">
        <is>
          <t>Official U.S. biomedical-research source.</t>
        </is>
      </c>
    </row>
    <row r="26" ht="36" customHeight="1">
      <c r="A26" s="60" t="inlineStr">
        <is>
          <t>Yes</t>
        </is>
      </c>
      <c r="B26" s="60" t="inlineStr">
        <is>
          <t>United States</t>
        </is>
      </c>
      <c r="C26" s="60" t="inlineStr">
        <is>
          <t>United States</t>
        </is>
      </c>
      <c r="D26" s="60" t="inlineStr">
        <is>
          <t>Energy, quantum and research policy</t>
        </is>
      </c>
      <c r="E26" s="60" t="inlineStr">
        <is>
          <t>DOE Office of Science News</t>
        </is>
      </c>
      <c r="F26" s="60" t="inlineStr">
        <is>
          <t>U.S. Department of Energy</t>
        </is>
      </c>
      <c r="G26" s="60" t="inlineStr">
        <is>
          <t>https://www.energy.gov/rss/science/3662436</t>
        </is>
      </c>
      <c r="H26" s="60" t="inlineStr">
        <is>
          <t>https://www.energy.gov/science/listings/office-science-news</t>
        </is>
      </c>
      <c r="I26" s="76" t="n">
        <v>5</v>
      </c>
      <c r="J26" s="60" t="inlineStr">
        <is>
          <t>Yes</t>
        </is>
      </c>
      <c r="K26" s="60" t="inlineStr">
        <is>
          <t>Official U.S. government source; includes fusion and quantum policy.</t>
        </is>
      </c>
    </row>
    <row r="27" ht="36" customHeight="1">
      <c r="A27" s="60" t="inlineStr">
        <is>
          <t>Yes</t>
        </is>
      </c>
      <c r="B27" s="60" t="inlineStr">
        <is>
          <t>EU &amp; Europe</t>
        </is>
      </c>
      <c r="C27" s="60" t="inlineStr">
        <is>
          <t>European Union</t>
        </is>
      </c>
      <c r="D27" s="60" t="inlineStr">
        <is>
          <t>EU policy</t>
        </is>
      </c>
      <c r="E27" s="60" t="inlineStr">
        <is>
          <t>European Commission Press Corner</t>
        </is>
      </c>
      <c r="F27" s="60" t="inlineStr">
        <is>
          <t>European Commission</t>
        </is>
      </c>
      <c r="G27" s="60" t="inlineStr">
        <is>
          <t>https://ec.europa.eu/commission/presscorner/api/rss?language=en&amp;documenttype=press_release</t>
        </is>
      </c>
      <c r="H27" s="60" t="inlineStr">
        <is>
          <t>https://ec.europa.eu/commission/presscorner/home/en</t>
        </is>
      </c>
      <c r="I27" s="76" t="n">
        <v>5</v>
      </c>
      <c r="J27" s="60" t="inlineStr">
        <is>
          <t>Yes</t>
        </is>
      </c>
      <c r="K27" s="60" t="inlineStr">
        <is>
          <t>Official European Commission press releases.</t>
        </is>
      </c>
    </row>
    <row r="28" ht="36" customHeight="1">
      <c r="A28" s="60" t="inlineStr">
        <is>
          <t>Yes</t>
        </is>
      </c>
      <c r="B28" s="60" t="inlineStr">
        <is>
          <t>EU &amp; Europe</t>
        </is>
      </c>
      <c r="C28" s="60" t="inlineStr">
        <is>
          <t>United Kingdom</t>
        </is>
      </c>
      <c r="D28" s="60" t="inlineStr">
        <is>
          <t>Science and innovation policy</t>
        </is>
      </c>
      <c r="E28" s="60" t="inlineStr">
        <is>
          <t>UK DSIT</t>
        </is>
      </c>
      <c r="F28" s="60" t="inlineStr">
        <is>
          <t>Department for Science, Innovation and Technology</t>
        </is>
      </c>
      <c r="G28" s="60" t="inlineStr">
        <is>
          <t>https://www.gov.uk/government/organisations/department-for-science-innovation-and-technology.atom</t>
        </is>
      </c>
      <c r="H28" s="60" t="inlineStr">
        <is>
          <t>https://www.gov.uk/government/organisations/department-for-science-innovation-and-technology</t>
        </is>
      </c>
      <c r="I28" s="76" t="n">
        <v>5</v>
      </c>
      <c r="J28" s="60" t="inlineStr">
        <is>
          <t>Yes</t>
        </is>
      </c>
      <c r="K28" s="60" t="inlineStr">
        <is>
          <t>Official UK government Atom feed.</t>
        </is>
      </c>
    </row>
    <row r="29" ht="36" customHeight="1">
      <c r="A29" s="60" t="inlineStr">
        <is>
          <t>Yes</t>
        </is>
      </c>
      <c r="B29" s="60" t="inlineStr">
        <is>
          <t>Asia</t>
        </is>
      </c>
      <c r="C29" s="60" t="inlineStr">
        <is>
          <t>Japan</t>
        </is>
      </c>
      <c r="D29" s="60" t="inlineStr">
        <is>
          <t>Industrial and innovation policy</t>
        </is>
      </c>
      <c r="E29" s="60" t="inlineStr">
        <is>
          <t>METI Press Releases</t>
        </is>
      </c>
      <c r="F29" s="60" t="inlineStr">
        <is>
          <t>Ministry of Economy, Trade and Industry</t>
        </is>
      </c>
      <c r="G29" s="60" t="inlineStr">
        <is>
          <t>https://www.meti.go.jp/english/press/index.rdf</t>
        </is>
      </c>
      <c r="H29" s="60" t="inlineStr">
        <is>
          <t>https://www.meti.go.jp/english/press/index.html</t>
        </is>
      </c>
      <c r="I29" s="76" t="n">
        <v>5</v>
      </c>
      <c r="J29" s="60" t="inlineStr">
        <is>
          <t>Yes</t>
        </is>
      </c>
      <c r="K29" s="60" t="inlineStr">
        <is>
          <t>Official Japanese government English-language feed.</t>
        </is>
      </c>
    </row>
    <row r="30" ht="36" customHeight="1">
      <c r="A30" s="60" t="inlineStr">
        <is>
          <t>Yes</t>
        </is>
      </c>
      <c r="B30" s="60" t="inlineStr">
        <is>
          <t>Global</t>
        </is>
      </c>
      <c r="C30" s="60" t="inlineStr">
        <is>
          <t>Global</t>
        </is>
      </c>
      <c r="D30" s="60" t="inlineStr">
        <is>
          <t>Healthcare policy</t>
        </is>
      </c>
      <c r="E30" s="60" t="inlineStr">
        <is>
          <t>WHO News</t>
        </is>
      </c>
      <c r="F30" s="60" t="inlineStr">
        <is>
          <t>World Health Organization</t>
        </is>
      </c>
      <c r="G30" s="60" t="inlineStr">
        <is>
          <t>https://www.who.int/rss-feeds/news-english.xml</t>
        </is>
      </c>
      <c r="H30" s="60" t="inlineStr">
        <is>
          <t>https://www.who.int/news</t>
        </is>
      </c>
      <c r="I30" s="76" t="n">
        <v>4</v>
      </c>
      <c r="J30" s="60" t="inlineStr">
        <is>
          <t>Yes</t>
        </is>
      </c>
      <c r="K30" s="60" t="inlineStr">
        <is>
          <t>Official international public-health source.</t>
        </is>
      </c>
    </row>
    <row r="31" ht="36" customHeight="1">
      <c r="A31" s="60" t="inlineStr">
        <is>
          <t>Yes</t>
        </is>
      </c>
      <c r="B31" s="60" t="inlineStr">
        <is>
          <t>Global</t>
        </is>
      </c>
      <c r="C31" s="60" t="inlineStr">
        <is>
          <t>Global</t>
        </is>
      </c>
      <c r="D31" s="60" t="inlineStr">
        <is>
          <t>Energy technology and policy</t>
        </is>
      </c>
      <c r="E31" s="60" t="inlineStr">
        <is>
          <t>IEA News</t>
        </is>
      </c>
      <c r="F31" s="60" t="inlineStr">
        <is>
          <t>International Energy Agency</t>
        </is>
      </c>
      <c r="G31" s="60" t="inlineStr">
        <is>
          <t>https://www.iea.org/rss/news.xml</t>
        </is>
      </c>
      <c r="H31" s="60" t="inlineStr">
        <is>
          <t>https://www.iea.org/news</t>
        </is>
      </c>
      <c r="I31" s="76" t="n">
        <v>4</v>
      </c>
      <c r="J31" s="60" t="inlineStr">
        <is>
          <t>Yes</t>
        </is>
      </c>
      <c r="K31" s="60" t="inlineStr">
        <is>
          <t>Official international energy-policy source.</t>
        </is>
      </c>
    </row>
    <row r="32" ht="36" customHeight="1">
      <c r="A32" s="60" t="inlineStr">
        <is>
          <t>Yes</t>
        </is>
      </c>
      <c r="B32" s="60" t="inlineStr">
        <is>
          <t>Global</t>
        </is>
      </c>
      <c r="C32" s="60" t="inlineStr">
        <is>
          <t>Global</t>
        </is>
      </c>
      <c r="D32" s="60" t="inlineStr">
        <is>
          <t>Economic, science and innovation policy</t>
        </is>
      </c>
      <c r="E32" s="60" t="inlineStr">
        <is>
          <t>OECD Newsroom</t>
        </is>
      </c>
      <c r="F32" s="60" t="inlineStr">
        <is>
          <t>OECD</t>
        </is>
      </c>
      <c r="G32" s="60" t="inlineStr">
        <is>
          <t>https://www.oecd.org/newsroom/rss.xml</t>
        </is>
      </c>
      <c r="H32" s="60" t="inlineStr">
        <is>
          <t>https://www.oecd.org/newsroom/</t>
        </is>
      </c>
      <c r="I32" s="76" t="n">
        <v>4</v>
      </c>
      <c r="J32" s="60" t="inlineStr">
        <is>
          <t>Yes</t>
        </is>
      </c>
      <c r="K32" s="60" t="inlineStr">
        <is>
          <t>Official OECD source.</t>
        </is>
      </c>
    </row>
    <row r="33" ht="36" customHeight="1">
      <c r="A33" s="60" t="inlineStr">
        <is>
          <t>Yes</t>
        </is>
      </c>
      <c r="B33" s="60" t="inlineStr">
        <is>
          <t>Global</t>
        </is>
      </c>
      <c r="C33" s="60" t="inlineStr">
        <is>
          <t>United States</t>
        </is>
      </c>
      <c r="D33" s="60" t="inlineStr">
        <is>
          <t>Artificial intelligence</t>
        </is>
      </c>
      <c r="E33" s="60" t="inlineStr">
        <is>
          <t>OpenAI News</t>
        </is>
      </c>
      <c r="F33" s="60" t="inlineStr">
        <is>
          <t>OpenAI</t>
        </is>
      </c>
      <c r="G33" s="60" t="inlineStr">
        <is>
          <t>https://openai.com/news/rss.xml</t>
        </is>
      </c>
      <c r="H33" s="60" t="inlineStr">
        <is>
          <t>https://openai.com/news/</t>
        </is>
      </c>
      <c r="I33" s="76" t="n">
        <v>5</v>
      </c>
      <c r="J33" s="60" t="inlineStr">
        <is>
          <t>Yes</t>
        </is>
      </c>
      <c r="K33" s="60" t="inlineStr">
        <is>
          <t>Official company newsroom.</t>
        </is>
      </c>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76" t="n">
        <v>4</v>
      </c>
      <c r="J34" s="60" t="inlineStr">
        <is>
          <t>Yes</t>
        </is>
      </c>
      <c r="K34" s="60" t="inlineStr">
        <is>
          <t>Official company publication.</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76" t="n">
        <v>4</v>
      </c>
      <c r="J35" s="60" t="inlineStr">
        <is>
          <t>Yes</t>
        </is>
      </c>
      <c r="K35" s="60" t="inlineStr">
        <is>
          <t>Official company publication.</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76" t="n">
        <v>4</v>
      </c>
      <c r="J36" s="60" t="inlineStr">
        <is>
          <t>Yes</t>
        </is>
      </c>
      <c r="K36" s="60" t="inlineStr">
        <is>
          <t>Official company newsroom.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https://research.ibm.com/blog/rss.xml</t>
        </is>
      </c>
      <c r="H37" s="60" t="inlineStr">
        <is>
          <t>https://research.ibm.com/blog</t>
        </is>
      </c>
      <c r="I37" s="76" t="n">
        <v>4</v>
      </c>
      <c r="J37" s="60" t="inlineStr">
        <is>
          <t>Yes</t>
        </is>
      </c>
      <c r="K37" s="60" t="inlineStr">
        <is>
          <t>Official corporate research publication.</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76" t="n">
        <v>4</v>
      </c>
      <c r="J38" s="60" t="inlineStr">
        <is>
          <t>Yes</t>
        </is>
      </c>
      <c r="K38" s="60" t="inlineStr">
        <is>
          <t>Official corporate research publication.</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76" t="n">
        <v>4</v>
      </c>
      <c r="J39" s="60" t="inlineStr">
        <is>
          <t>Yes</t>
        </is>
      </c>
      <c r="K39" s="60" t="inlineStr">
        <is>
          <t>Official company newsroom.</t>
        </is>
      </c>
    </row>
    <row r="40" ht="36" customHeight="1">
      <c r="A40" s="60" t="inlineStr">
        <is>
          <t>Yes</t>
        </is>
      </c>
      <c r="B40" s="60" t="inlineStr">
        <is>
          <t>EU &amp; Europe</t>
        </is>
      </c>
      <c r="C40" s="60" t="inlineStr">
        <is>
          <t>International / France</t>
        </is>
      </c>
      <c r="D40" s="60" t="inlineStr">
        <is>
          <t>Fusion energy</t>
        </is>
      </c>
      <c r="E40" s="60" t="inlineStr">
        <is>
          <t>ITER News</t>
        </is>
      </c>
      <c r="F40" s="60" t="inlineStr">
        <is>
          <t>ITER Organization</t>
        </is>
      </c>
      <c r="G40" s="60" t="inlineStr">
        <is>
          <t>https://www.iter.org/news</t>
        </is>
      </c>
      <c r="H40" s="60" t="inlineStr">
        <is>
          <t>https://www.iter.org/news</t>
        </is>
      </c>
      <c r="I40" s="76" t="n">
        <v>5</v>
      </c>
      <c r="J40" s="60" t="inlineStr">
        <is>
          <t>No</t>
        </is>
      </c>
      <c r="K40" s="60" t="inlineStr">
        <is>
          <t>Official international fusion project; official listing-page fallback.</t>
        </is>
      </c>
    </row>
    <row r="41" ht="36" customHeight="1">
      <c r="A41" s="60" t="inlineStr">
        <is>
          <t>Yes</t>
        </is>
      </c>
      <c r="B41" s="60" t="inlineStr">
        <is>
          <t>Global</t>
        </is>
      </c>
      <c r="C41" s="60" t="inlineStr">
        <is>
          <t>Global</t>
        </is>
      </c>
      <c r="D41" s="60" t="inlineStr">
        <is>
          <t>Fusion energy</t>
        </is>
      </c>
      <c r="E41" s="60" t="inlineStr">
        <is>
          <t>Fusion Industry Association</t>
        </is>
      </c>
      <c r="F41" s="60" t="inlineStr">
        <is>
          <t>Fusion Industry Association</t>
        </is>
      </c>
      <c r="G41" s="60" t="inlineStr">
        <is>
          <t>https://www.fusionindustryassociation.org/feed/</t>
        </is>
      </c>
      <c r="H41" s="60" t="inlineStr">
        <is>
          <t>https://www.fusionindustryassociation.org/</t>
        </is>
      </c>
      <c r="I41" s="76" t="n">
        <v>3</v>
      </c>
      <c r="J41" s="60" t="inlineStr">
        <is>
          <t>Yes</t>
        </is>
      </c>
      <c r="K41" s="60" t="inlineStr">
        <is>
          <t>Established industry association; company claims are clearly labeled by source.</t>
        </is>
      </c>
    </row>
    <row r="42" ht="36" customHeight="1">
      <c r="A42" s="60" t="inlineStr">
        <is>
          <t>Yes</t>
        </is>
      </c>
      <c r="B42" s="60" t="inlineStr">
        <is>
          <t>Asia</t>
        </is>
      </c>
      <c r="C42" s="60" t="inlineStr">
        <is>
          <t>Japan</t>
        </is>
      </c>
      <c r="D42" s="60" t="inlineStr">
        <is>
          <t>National science, technology and innovation strategy</t>
        </is>
      </c>
      <c r="E42" s="60" t="inlineStr">
        <is>
          <t>Japan Cabinet Office STI Strategy</t>
        </is>
      </c>
      <c r="F42" s="60" t="inlineStr">
        <is>
          <t>Cabinet Office, Government of Japan</t>
        </is>
      </c>
      <c r="G42" s="60" t="inlineStr">
        <is>
          <t>https://www8.cao.go.jp/cstp/tougosenryaku/index.html</t>
        </is>
      </c>
      <c r="H42" s="60" t="inlineStr">
        <is>
          <t>https://www8.cao.go.jp/cstp/tougosenryaku/index.html</t>
        </is>
      </c>
      <c r="I42" s="76" t="n">
        <v>5</v>
      </c>
      <c r="J42" s="60" t="inlineStr">
        <is>
          <t>No</t>
        </is>
      </c>
      <c r="K42" s="60" t="inlineStr">
        <is>
          <t>Official annual Japanese science, technology and innovation strategy.</t>
        </is>
      </c>
    </row>
    <row r="43" ht="36" customHeight="1">
      <c r="A43" s="60" t="inlineStr">
        <is>
          <t>Yes</t>
        </is>
      </c>
      <c r="B43" s="60" t="inlineStr">
        <is>
          <t>Asia</t>
        </is>
      </c>
      <c r="C43" s="60" t="inlineStr">
        <is>
          <t>Japan</t>
        </is>
      </c>
      <c r="D43" s="60" t="inlineStr">
        <is>
          <t>Patents, intellectual property and technology transfer policy</t>
        </is>
      </c>
      <c r="E43" s="60" t="inlineStr">
        <is>
          <t>Japan IP Strategy Headquarters</t>
        </is>
      </c>
      <c r="F43" s="60" t="inlineStr">
        <is>
          <t>Intellectual Property Strategy Headquarters, Government of Japan</t>
        </is>
      </c>
      <c r="G43" s="60" t="inlineStr">
        <is>
          <t>https://www.cas.go.jp/jp/seisakukaigi/titeki2/</t>
        </is>
      </c>
      <c r="H43" s="60" t="inlineStr">
        <is>
          <t>https://www.cas.go.jp/jp/seisakukaigi/titeki2/</t>
        </is>
      </c>
      <c r="I43" s="76" t="n">
        <v>5</v>
      </c>
      <c r="J43" s="60" t="inlineStr">
        <is>
          <t>No</t>
        </is>
      </c>
      <c r="K43" s="60" t="inlineStr">
        <is>
          <t>Official Japanese intellectual-property strategy and policy updates.</t>
        </is>
      </c>
    </row>
    <row r="44" ht="36" customHeight="1">
      <c r="A44" s="60" t="inlineStr">
        <is>
          <t>Yes</t>
        </is>
      </c>
      <c r="B44" s="60" t="inlineStr">
        <is>
          <t>Asia</t>
        </is>
      </c>
      <c r="C44" s="60" t="inlineStr">
        <is>
          <t>Japan</t>
        </is>
      </c>
      <c r="D44" s="60" t="inlineStr">
        <is>
          <t>Science, technology and innovation policy research</t>
        </is>
      </c>
      <c r="E44" s="60" t="inlineStr">
        <is>
          <t>JST CRDS STI Policy Reports</t>
        </is>
      </c>
      <c r="F44" s="60" t="inlineStr">
        <is>
          <t>JST Center for Research and Development Strategy</t>
        </is>
      </c>
      <c r="G44" s="60" t="inlineStr">
        <is>
          <t>https://www.jst.go.jp/crds/report/by-category/05/index.html</t>
        </is>
      </c>
      <c r="H44" s="60" t="inlineStr">
        <is>
          <t>https://www.jst.go.jp/crds/</t>
        </is>
      </c>
      <c r="I44" s="76" t="n">
        <v>5</v>
      </c>
      <c r="J44" s="60" t="inlineStr">
        <is>
          <t>No</t>
        </is>
      </c>
      <c r="K44" s="60" t="inlineStr">
        <is>
          <t>Official Japanese public-policy research reports from JST CRDS.</t>
        </is>
      </c>
    </row>
    <row r="45" ht="36" customHeight="1">
      <c r="A45" s="60" t="inlineStr">
        <is>
          <t>Yes</t>
        </is>
      </c>
      <c r="B45" s="60" t="inlineStr">
        <is>
          <t>United States</t>
        </is>
      </c>
      <c r="C45" s="60" t="inlineStr">
        <is>
          <t>United States</t>
        </is>
      </c>
      <c r="D45" s="60" t="inlineStr">
        <is>
          <t>Science, technology and research policy</t>
        </is>
      </c>
      <c r="E45" s="60" t="inlineStr">
        <is>
          <t>White House OSTP News</t>
        </is>
      </c>
      <c r="F45" s="60" t="inlineStr">
        <is>
          <t>White House Office of Science and Technology Policy</t>
        </is>
      </c>
      <c r="G45" s="60" t="inlineStr">
        <is>
          <t>https://www.whitehouse.gov/ostp/news/</t>
        </is>
      </c>
      <c r="H45" s="60" t="inlineStr">
        <is>
          <t>https://www.whitehouse.gov/ostp/</t>
        </is>
      </c>
      <c r="I45" s="76" t="n">
        <v>5</v>
      </c>
      <c r="J45" s="60" t="inlineStr">
        <is>
          <t>No</t>
        </is>
      </c>
      <c r="K45" s="60" t="inlineStr">
        <is>
          <t>Official U.S. science and technology policy releases.</t>
        </is>
      </c>
    </row>
    <row r="46" ht="36" customHeight="1">
      <c r="A46" s="60" t="inlineStr">
        <is>
          <t>Yes</t>
        </is>
      </c>
      <c r="B46" s="60" t="inlineStr">
        <is>
          <t>Global</t>
        </is>
      </c>
      <c r="C46" s="60" t="inlineStr">
        <is>
          <t>Global</t>
        </is>
      </c>
      <c r="D46" s="60" t="inlineStr">
        <is>
          <t>Patents, intellectual property and innovation policy</t>
        </is>
      </c>
      <c r="E46" s="60" t="inlineStr">
        <is>
          <t>WIPO News</t>
        </is>
      </c>
      <c r="F46" s="60" t="inlineStr">
        <is>
          <t>World Intellectual Property Organization</t>
        </is>
      </c>
      <c r="G46" s="60" t="inlineStr">
        <is>
          <t>https://www.wipo.int/pressroom/en/articles/archive.html</t>
        </is>
      </c>
      <c r="H46" s="60" t="inlineStr">
        <is>
          <t>https://www.wipo.int/pressroom/en/</t>
        </is>
      </c>
      <c r="I46" s="76" t="n">
        <v>5</v>
      </c>
      <c r="J46" s="60" t="inlineStr">
        <is>
          <t>No</t>
        </is>
      </c>
      <c r="K46" s="60" t="inlineStr">
        <is>
          <t>Official WIPO news on patents, intellectual property and innovation policy.</t>
        </is>
      </c>
    </row>
    <row r="47" ht="36" customHeight="1">
      <c r="A47" s="60" t="inlineStr">
        <is>
          <t>Yes</t>
        </is>
      </c>
      <c r="B47" s="60" t="inlineStr">
        <is>
          <t>EU &amp; Europe</t>
        </is>
      </c>
      <c r="C47" s="60" t="inlineStr">
        <is>
          <t>European Patent Organisation</t>
        </is>
      </c>
      <c r="D47" s="60" t="inlineStr">
        <is>
          <t>Patent policy, examination and technology transfer</t>
        </is>
      </c>
      <c r="E47" s="60" t="inlineStr">
        <is>
          <t>European Patent Office News</t>
        </is>
      </c>
      <c r="F47" s="60" t="inlineStr">
        <is>
          <t>European Patent Office</t>
        </is>
      </c>
      <c r="G47" s="60" t="inlineStr">
        <is>
          <t>https://www.epo.org/en/news-events/news/feed</t>
        </is>
      </c>
      <c r="H47" s="60" t="inlineStr">
        <is>
          <t>https://www.epo.org/en/news-events/news</t>
        </is>
      </c>
      <c r="I47" s="76" t="n">
        <v>5</v>
      </c>
      <c r="J47" s="60" t="inlineStr">
        <is>
          <t>Yes</t>
        </is>
      </c>
      <c r="K47" s="60" t="inlineStr">
        <is>
          <t>Official EPO news and patent-system policy updates.</t>
        </is>
      </c>
    </row>
    <row r="48" ht="36" customHeight="1">
      <c r="A48" s="60" t="inlineStr">
        <is>
          <t>Yes</t>
        </is>
      </c>
      <c r="B48" s="60" t="inlineStr">
        <is>
          <t>Global</t>
        </is>
      </c>
      <c r="C48" s="60" t="inlineStr">
        <is>
          <t>Global</t>
        </is>
      </c>
      <c r="D48" s="60" t="inlineStr">
        <is>
          <t>Scholarly research</t>
        </is>
      </c>
      <c r="E48" s="60" t="inlineStr">
        <is>
          <t>OpenAlex Journal Articles</t>
        </is>
      </c>
      <c r="F48" s="60" t="inlineStr">
        <is>
          <t>OpenAlex</t>
        </is>
      </c>
      <c r="G48" s="60" t="inlineStr">
        <is>
          <t>https://api.openalex.org/works</t>
        </is>
      </c>
      <c r="H48" s="60" t="inlineStr">
        <is>
          <t>https://openalex.org/</t>
        </is>
      </c>
      <c r="I48" s="76" t="n">
        <v>4</v>
      </c>
      <c r="J48" s="60" t="inlineStr">
        <is>
          <t>No</t>
        </is>
      </c>
      <c r="K48" s="60" t="inlineStr">
        <is>
          <t>Scholarly metadata discovery. The card links to the DOI or OpenAlex record; peer-review status must be confirmed on the publisher page.</t>
        </is>
      </c>
    </row>
    <row r="49" ht="36" customHeight="1">
      <c r="A49" s="60" t="inlineStr">
        <is>
          <t>Yes</t>
        </is>
      </c>
      <c r="B49" s="60" t="inlineStr">
        <is>
          <t>Global</t>
        </is>
      </c>
      <c r="C49" s="60" t="inlineStr">
        <is>
          <t>Global</t>
        </is>
      </c>
      <c r="D49" s="60" t="inlineStr">
        <is>
          <t>Conference proceedings</t>
        </is>
      </c>
      <c r="E49" s="60" t="inlineStr">
        <is>
          <t>OpenAlex Conference Papers</t>
        </is>
      </c>
      <c r="F49" s="60" t="inlineStr">
        <is>
          <t>OpenAlex</t>
        </is>
      </c>
      <c r="G49" s="60" t="inlineStr">
        <is>
          <t>https://api.openalex.org/works</t>
        </is>
      </c>
      <c r="H49" s="60" t="inlineStr">
        <is>
          <t>https://openalex.org/</t>
        </is>
      </c>
      <c r="I49" s="76" t="n">
        <v>4</v>
      </c>
      <c r="J49" s="60" t="inlineStr">
        <is>
          <t>No</t>
        </is>
      </c>
      <c r="K49" s="60" t="inlineStr">
        <is>
          <t>Official proceedings and conference-paper records discovered through OpenAlex. Review status varies by venue.</t>
        </is>
      </c>
    </row>
    <row r="50" ht="36" customHeight="1">
      <c r="A50" s="60" t="inlineStr">
        <is>
          <t>Yes</t>
        </is>
      </c>
      <c r="B50" s="60" t="inlineStr">
        <is>
          <t>Global</t>
        </is>
      </c>
      <c r="C50" s="60" t="inlineStr">
        <is>
          <t>Global</t>
        </is>
      </c>
      <c r="D50" s="60" t="inlineStr">
        <is>
          <t>Preprints</t>
        </is>
      </c>
      <c r="E50" s="60" t="inlineStr">
        <is>
          <t>OpenAlex Preprints</t>
        </is>
      </c>
      <c r="F50" s="60" t="inlineStr">
        <is>
          <t>OpenAlex</t>
        </is>
      </c>
      <c r="G50" s="60" t="inlineStr">
        <is>
          <t>https://api.openalex.org/works</t>
        </is>
      </c>
      <c r="H50" s="60" t="inlineStr">
        <is>
          <t>https://openalex.org/</t>
        </is>
      </c>
      <c r="I50" s="76" t="n">
        <v>3</v>
      </c>
      <c r="J50" s="60" t="inlineStr">
        <is>
          <t>No</t>
        </is>
      </c>
      <c r="K50" s="60" t="inlineStr">
        <is>
          <t>Preprints are displayed separately and must never be described as peer reviewed.</t>
        </is>
      </c>
    </row>
  </sheetData>
  <autoFilter ref="A3:K50"/>
  <mergeCells count="2">
    <mergeCell ref="A2:K2"/>
    <mergeCell ref="A1:K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s>
  <pageMargins left="0.7" right="0.7" top="0.75" bottom="0.75" header="0.3" footer="0.3"/>
  <tableParts count="1">
    <tablePart xmlns:r="http://schemas.openxmlformats.org/officeDocument/2006/relationships" r:id="rId95"/>
  </tableParts>
</worksheet>
</file>

<file path=xl/worksheets/sheet4.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67" t="inlineStr">
        <is>
          <t>Daily collection results; one failed feed never stops the remaining sources</t>
        </is>
      </c>
      <c r="B2" s="68" t="n"/>
      <c r="C2" s="68" t="n"/>
      <c r="D2" s="68" t="n"/>
      <c r="E2" s="68" t="n"/>
      <c r="F2" s="68" t="n"/>
      <c r="G2" s="68" t="n"/>
      <c r="H2" s="69"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75" t="inlineStr">
        <is>
          <t>2026-07-26T22:13:31+09:00</t>
        </is>
      </c>
      <c r="B4" s="77" t="n">
        <v>47</v>
      </c>
      <c r="C4" s="77" t="n">
        <v>37</v>
      </c>
      <c r="D4" s="77" t="n">
        <v>0</v>
      </c>
      <c r="E4" s="77" t="n">
        <v>124</v>
      </c>
      <c r="F4" s="77" t="n">
        <v>10</v>
      </c>
      <c r="G4" s="77" t="n">
        <v>1655.72</v>
      </c>
      <c r="H4" s="60" t="inlineStr">
        <is>
          <t>Daily update</t>
        </is>
      </c>
    </row>
    <row r="5">
      <c r="A5" s="75" t="inlineStr">
        <is>
          <t>2026-07-26T21:45:54+09:00</t>
        </is>
      </c>
      <c r="B5" s="77" t="n">
        <v>128</v>
      </c>
      <c r="C5" s="77" t="n">
        <v>73</v>
      </c>
      <c r="D5" s="77" t="n">
        <v>8</v>
      </c>
      <c r="E5" s="77" t="n">
        <v>603</v>
      </c>
      <c r="F5" s="77" t="n">
        <v>55</v>
      </c>
      <c r="G5" s="77" t="n">
        <v>1492.56</v>
      </c>
      <c r="H5" s="60" t="inlineStr">
        <is>
          <t>Historical backfill: policy 365d / technology 183d</t>
        </is>
      </c>
    </row>
    <row r="6">
      <c r="A6" s="75" t="inlineStr">
        <is>
          <t>2026-07-26T21:29:09+09:00</t>
        </is>
      </c>
      <c r="B6" s="77" t="n">
        <v>41</v>
      </c>
      <c r="C6" s="77" t="n">
        <v>31</v>
      </c>
      <c r="D6" s="77" t="n">
        <v>7</v>
      </c>
      <c r="E6" s="77" t="n">
        <v>76</v>
      </c>
      <c r="F6" s="77" t="n">
        <v>10</v>
      </c>
      <c r="G6" s="77" t="n">
        <v>832.08</v>
      </c>
      <c r="H6" s="60" t="inlineStr">
        <is>
          <t>Daily update</t>
        </is>
      </c>
    </row>
    <row r="7">
      <c r="A7" s="75" t="inlineStr">
        <is>
          <t>2026-07-26T21:02:36+09:00</t>
        </is>
      </c>
      <c r="B7" s="77" t="n">
        <v>108</v>
      </c>
      <c r="C7" s="77" t="n">
        <v>59</v>
      </c>
      <c r="D7" s="77" t="n">
        <v>16</v>
      </c>
      <c r="E7" s="77" t="n">
        <v>92</v>
      </c>
      <c r="F7" s="77" t="n">
        <v>49</v>
      </c>
      <c r="G7" s="77" t="n">
        <v>1376.15</v>
      </c>
      <c r="H7" s="60" t="inlineStr">
        <is>
          <t>Historical backfill: policy 365d / technology 183d</t>
        </is>
      </c>
    </row>
    <row r="8">
      <c r="A8" s="75" t="inlineStr">
        <is>
          <t>2026-07-26T20:36:29+09:00</t>
        </is>
      </c>
      <c r="B8" s="77" t="n">
        <v>38</v>
      </c>
      <c r="C8" s="77" t="n">
        <v>28</v>
      </c>
      <c r="D8" s="77" t="n">
        <v>1</v>
      </c>
      <c r="E8" s="77" t="n">
        <v>74</v>
      </c>
      <c r="F8" s="77" t="n">
        <v>10</v>
      </c>
      <c r="G8" s="77" t="n">
        <v>93.7</v>
      </c>
      <c r="H8" s="60" t="inlineStr">
        <is>
          <t>Daily update</t>
        </is>
      </c>
    </row>
    <row r="9">
      <c r="A9" s="75" t="inlineStr">
        <is>
          <t>2026-07-26T20:34:08+09:00</t>
        </is>
      </c>
      <c r="B9" s="77" t="n">
        <v>38</v>
      </c>
      <c r="C9" s="77" t="n">
        <v>28</v>
      </c>
      <c r="D9" s="77" t="n">
        <v>0</v>
      </c>
      <c r="E9" s="77" t="n">
        <v>74</v>
      </c>
      <c r="F9" s="77" t="n">
        <v>10</v>
      </c>
      <c r="G9" s="77" t="n">
        <v>20.27</v>
      </c>
      <c r="H9" s="60" t="inlineStr">
        <is>
          <t>Daily update</t>
        </is>
      </c>
    </row>
    <row r="10">
      <c r="A10" s="75" t="inlineStr">
        <is>
          <t>2026-07-26T20:29:40+09:00</t>
        </is>
      </c>
      <c r="B10" s="77" t="n">
        <v>38</v>
      </c>
      <c r="C10" s="77" t="n">
        <v>28</v>
      </c>
      <c r="D10" s="77" t="n">
        <v>7</v>
      </c>
      <c r="E10" s="77" t="n">
        <v>11</v>
      </c>
      <c r="F10" s="77" t="n">
        <v>10</v>
      </c>
      <c r="G10" s="77" t="n">
        <v>141.79</v>
      </c>
      <c r="H10" s="60" t="inlineStr">
        <is>
          <t>Daily update</t>
        </is>
      </c>
    </row>
    <row r="11">
      <c r="A11" s="75" t="inlineStr">
        <is>
          <t>2026-07-26T20:24:57+09:00</t>
        </is>
      </c>
      <c r="B11" s="77" t="n">
        <v>38</v>
      </c>
      <c r="C11" s="77" t="n">
        <v>28</v>
      </c>
      <c r="D11" s="77" t="n">
        <v>6</v>
      </c>
      <c r="E11" s="77" t="n">
        <v>24</v>
      </c>
      <c r="F11" s="77" t="n">
        <v>10</v>
      </c>
      <c r="G11" s="77" t="n">
        <v>134.95</v>
      </c>
      <c r="H11" s="60" t="inlineStr">
        <is>
          <t>Daily update</t>
        </is>
      </c>
    </row>
    <row r="12">
      <c r="A12" s="75" t="inlineStr">
        <is>
          <t>2026-07-26T20:19:15+09:00</t>
        </is>
      </c>
      <c r="B12" s="77" t="n">
        <v>38</v>
      </c>
      <c r="C12" s="77" t="n">
        <v>28</v>
      </c>
      <c r="D12" s="77" t="n">
        <v>15</v>
      </c>
      <c r="E12" s="77" t="n">
        <v>22</v>
      </c>
      <c r="F12" s="77" t="n">
        <v>10</v>
      </c>
      <c r="G12" s="77" t="n">
        <v>134.05</v>
      </c>
      <c r="H12" s="60" t="inlineStr">
        <is>
          <t>Daily update</t>
        </is>
      </c>
    </row>
    <row r="13">
      <c r="A13" s="75" t="inlineStr">
        <is>
          <t>2026-07-26T20:13:43+09:00</t>
        </is>
      </c>
      <c r="B13" s="77" t="n">
        <v>34</v>
      </c>
      <c r="C13" s="77" t="n">
        <v>24</v>
      </c>
      <c r="D13" s="77" t="n">
        <v>3</v>
      </c>
      <c r="E13" s="77" t="n">
        <v>51</v>
      </c>
      <c r="F13" s="77" t="n">
        <v>10</v>
      </c>
      <c r="G13" s="77" t="n">
        <v>162.46</v>
      </c>
      <c r="H13" s="60" t="inlineStr">
        <is>
          <t>Daily update</t>
        </is>
      </c>
    </row>
    <row r="14">
      <c r="A14" s="75" t="inlineStr">
        <is>
          <t>2026-07-26T20:00:03+09:00</t>
        </is>
      </c>
      <c r="B14" s="77" t="n">
        <v>34</v>
      </c>
      <c r="C14" s="77" t="n">
        <v>24</v>
      </c>
      <c r="D14" s="77" t="n">
        <v>0</v>
      </c>
      <c r="E14" s="77" t="n">
        <v>58</v>
      </c>
      <c r="F14" s="77" t="n">
        <v>10</v>
      </c>
      <c r="G14" s="77" t="n">
        <v>154.27</v>
      </c>
      <c r="H14" s="60" t="inlineStr">
        <is>
          <t>Daily update</t>
        </is>
      </c>
    </row>
    <row r="15">
      <c r="A15" s="75" t="inlineStr">
        <is>
          <t>2026-07-26T19:51:39+09:00</t>
        </is>
      </c>
      <c r="B15" s="77" t="n">
        <v>34</v>
      </c>
      <c r="C15" s="77" t="n">
        <v>24</v>
      </c>
      <c r="D15" s="77" t="n">
        <v>9</v>
      </c>
      <c r="E15" s="77" t="n">
        <v>49</v>
      </c>
      <c r="F15" s="77" t="n">
        <v>10</v>
      </c>
      <c r="G15" s="77" t="n">
        <v>11.55</v>
      </c>
      <c r="H15" s="60" t="inlineStr">
        <is>
          <t>Daily update</t>
        </is>
      </c>
    </row>
    <row r="16">
      <c r="A16" s="75" t="inlineStr">
        <is>
          <t>2026-07-26T19:10:55+09:00</t>
        </is>
      </c>
      <c r="B16" s="77" t="n">
        <v>34</v>
      </c>
      <c r="C16" s="77" t="n">
        <v>25</v>
      </c>
      <c r="D16" s="77" t="n">
        <v>3</v>
      </c>
      <c r="E16" s="77" t="n">
        <v>45</v>
      </c>
      <c r="F16" s="77" t="n">
        <v>9</v>
      </c>
      <c r="G16" s="77" t="n">
        <v>194.65</v>
      </c>
      <c r="H16" s="60" t="inlineStr">
        <is>
          <t>Daily update</t>
        </is>
      </c>
    </row>
    <row r="17">
      <c r="A17" s="75" t="inlineStr">
        <is>
          <t>2026-07-26T19:05:06+09:00</t>
        </is>
      </c>
      <c r="B17" s="77" t="n">
        <v>33</v>
      </c>
      <c r="C17" s="77" t="n">
        <v>24</v>
      </c>
      <c r="D17" s="77" t="n">
        <v>5</v>
      </c>
      <c r="E17" s="77" t="n">
        <v>39</v>
      </c>
      <c r="F17" s="77" t="n">
        <v>9</v>
      </c>
      <c r="G17" s="77" t="n">
        <v>165.89</v>
      </c>
      <c r="H17" s="60" t="inlineStr">
        <is>
          <t>Daily update</t>
        </is>
      </c>
    </row>
    <row r="18">
      <c r="A18" s="75" t="inlineStr">
        <is>
          <t>2026-07-26T18:56:03+09:00</t>
        </is>
      </c>
      <c r="B18" s="77" t="n">
        <v>33</v>
      </c>
      <c r="C18" s="77" t="n">
        <v>20</v>
      </c>
      <c r="D18" s="77" t="n">
        <v>94</v>
      </c>
      <c r="E18" s="77" t="n">
        <v>0</v>
      </c>
      <c r="F18" s="77" t="n">
        <v>13</v>
      </c>
      <c r="G18" s="77" t="n">
        <v>129.43</v>
      </c>
      <c r="H18" s="60" t="inlineStr">
        <is>
          <t>Initial lookback</t>
        </is>
      </c>
    </row>
  </sheetData>
  <autoFilter ref="A3:H1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2026-07-26T13:41:06Z</dcterms:created>
  <dcterms:modified xsi:type="dcterms:W3CDTF">2026-07-26T13:41:06Z</dcterms:modified>
</cp:coreProperties>
</file>