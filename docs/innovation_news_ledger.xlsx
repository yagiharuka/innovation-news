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News Ledger" sheetId="2" state="visible" r:id="rId2"/>
    <sheet name="Source Registry" sheetId="3" state="visible" r:id="rId3"/>
    <sheet name="Run Log" sheetId="4" state="visible" r:id="rId4"/>
  </sheets>
  <definedNames>
    <definedName name="_xlnm._FilterDatabase" localSheetId="1" hidden="1">'News Ledger'!$A$3:$O$4</definedName>
    <definedName name="_xlnm._FilterDatabase" localSheetId="2" hidden="1">'Source Registry'!$A$3:$K$92</definedName>
    <definedName name="_xlnm._FilterDatabase" localSheetId="3" hidden="1">'Run Log'!$A$3:$H$20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0">
    <font>
      <name val="Carlito"/>
      <sz val="11"/>
    </font>
    <font>
      <name val="DejaVu Sans"/>
      <b val="1"/>
      <color rgb="FFFFFFFF"/>
      <sz val="20"/>
    </font>
    <font>
      <name val="DejaVu Sans"/>
      <color rgb="FF5B6B78"/>
      <sz val="10"/>
    </font>
    <font>
      <name val="DejaVu Sans"/>
      <b val="1"/>
      <color rgb="FFFFFFFF"/>
      <sz val="11"/>
    </font>
    <font>
      <name val="DejaVu Sans"/>
      <color rgb="FF182632"/>
      <sz val="10"/>
    </font>
    <font>
      <name val="DejaVu Sans"/>
      <b val="1"/>
      <color rgb="FF182632"/>
      <sz val="10"/>
    </font>
    <font>
      <name val="DejaVu Sans"/>
      <b val="1"/>
      <color rgb="FF0F766E"/>
      <sz val="16"/>
    </font>
    <font>
      <name val="DejaVu Sans"/>
      <b val="1"/>
      <color rgb="FF0B1F33"/>
      <sz val="11"/>
    </font>
    <font>
      <name val="DejaVu Sans"/>
      <sz val="11"/>
    </font>
    <font>
      <name val="DejaVu Sans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F4F7F8"/>
      </patternFill>
    </fill>
    <fill>
      <patternFill patternType="solid">
        <fgColor rgb="FF0F766E"/>
      </patternFill>
    </fill>
    <fill>
      <patternFill patternType="solid">
        <fgColor rgb="FFFFFFFF"/>
      </patternFill>
    </fill>
    <fill>
      <patternFill patternType="solid">
        <fgColor rgb="FFDDF3EE"/>
      </patternFill>
    </fill>
    <fill>
      <patternFill patternType="solid">
        <fgColor rgb="FFF7ECD4"/>
      </patternFill>
    </fill>
  </fills>
  <borders count="11">
    <border/>
    <border>
      <left style="thin">
        <color rgb="FFD7E0E5"/>
      </left>
      <top style="thin">
        <color rgb="FFD7E0E5"/>
      </top>
      <bottom style="thin">
        <color rgb="FFD7E0E5"/>
      </bottom>
    </border>
    <border>
      <top style="thin">
        <color rgb="FFD7E0E5"/>
      </top>
      <bottom style="thin">
        <color rgb="FFD7E0E5"/>
      </bottom>
    </border>
    <border>
      <right style="thin">
        <color rgb="FFD7E0E5"/>
      </right>
      <top style="thin">
        <color rgb="FFD7E0E5"/>
      </top>
      <bottom style="thin">
        <color rgb="FFD7E0E5"/>
      </bottom>
    </border>
    <border>
      <bottom style="thin">
        <color rgb="FFD7E0E5"/>
      </bottom>
    </border>
    <border>
      <top style="thin">
        <color rgb="FFD7E0E5"/>
      </top>
    </border>
    <border>
      <left style="thin">
        <color rgb="FFD7E0E5"/>
      </left>
      <right style="thin">
        <color rgb="FFD7E0E5"/>
      </right>
      <top style="thin">
        <color rgb="FFD7E0E5"/>
      </top>
      <bottom style="thin">
        <color rgb="FFD7E0E5"/>
      </bottom>
    </border>
    <border>
      <right style="thin">
        <color rgb="FFB8D6D0"/>
      </right>
      <bottom style="medium">
        <color rgb="FF0B1F33"/>
      </bottom>
    </border>
    <border>
      <left style="thin">
        <color rgb="FFB8D6D0"/>
      </left>
      <right style="thin">
        <color rgb="FFB8D6D0"/>
      </right>
      <bottom style="medium">
        <color rgb="FF0B1F33"/>
      </bottom>
    </border>
    <border>
      <left style="thin">
        <color rgb="FFB8D6D0"/>
      </left>
      <bottom style="medium">
        <color rgb="FF0B1F33"/>
      </bottom>
    </border>
    <border>
      <right style="thin">
        <color rgb="FFD7E0E5"/>
      </right>
      <top style="thin">
        <color rgb="FFD7E0E5"/>
      </top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1" applyAlignment="1" pivotButton="0" quotePrefix="0" xfId="0">
      <alignment horizontal="left"/>
    </xf>
    <xf numFmtId="0" fontId="2" fillId="3" borderId="2" applyAlignment="1" pivotButton="0" quotePrefix="0" xfId="0">
      <alignment horizontal="left"/>
    </xf>
    <xf numFmtId="0" fontId="2" fillId="3" borderId="3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2" fillId="3" borderId="3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4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4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0" fontId="4" fillId="5" borderId="5" applyAlignment="1" pivotButton="0" quotePrefix="0" xfId="0">
      <alignment vertical="center"/>
    </xf>
    <xf numFmtId="0" fontId="5" fillId="5" borderId="4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0" fontId="5" fillId="5" borderId="5" applyAlignment="1" pivotButton="0" quotePrefix="0" xfId="0">
      <alignment vertical="center"/>
    </xf>
    <xf numFmtId="0" fontId="4" fillId="6" borderId="2" applyAlignment="1" pivotButton="0" quotePrefix="0" xfId="0">
      <alignment vertical="center"/>
    </xf>
    <xf numFmtId="0" fontId="4" fillId="6" borderId="5" applyAlignment="1" pivotButton="0" quotePrefix="0" xfId="0">
      <alignment vertical="center"/>
    </xf>
    <xf numFmtId="0" fontId="6" fillId="6" borderId="2" applyAlignment="1" pivotButton="0" quotePrefix="0" xfId="0">
      <alignment vertical="center"/>
    </xf>
    <xf numFmtId="0" fontId="6" fillId="6" borderId="5" applyAlignment="1" pivotButton="0" quotePrefix="0" xfId="0">
      <alignment vertical="center"/>
    </xf>
    <xf numFmtId="0" fontId="6" fillId="6" borderId="6" applyAlignment="1" pivotButton="0" quotePrefix="0" xfId="0">
      <alignment vertical="center"/>
    </xf>
    <xf numFmtId="3" fontId="6" fillId="6" borderId="6" applyAlignment="1" pivotButton="0" quotePrefix="0" xfId="0">
      <alignment vertical="center"/>
    </xf>
    <xf numFmtId="3" fontId="6" fillId="6" borderId="6" applyAlignment="1" pivotButton="0" quotePrefix="0" xfId="0">
      <alignment horizontal="right" vertical="center"/>
    </xf>
    <xf numFmtId="3" fontId="4" fillId="5" borderId="4" applyAlignment="1" pivotButton="0" quotePrefix="0" xfId="0">
      <alignment vertical="center"/>
    </xf>
    <xf numFmtId="3" fontId="4" fillId="5" borderId="2" applyAlignment="1" pivotButton="0" quotePrefix="0" xfId="0">
      <alignment vertical="center"/>
    </xf>
    <xf numFmtId="3" fontId="4" fillId="5" borderId="5" applyAlignment="1" pivotButton="0" quotePrefix="0" xfId="0">
      <alignment vertical="center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vertical="center"/>
    </xf>
    <xf numFmtId="0" fontId="4" fillId="5" borderId="4" applyAlignment="1" pivotButton="0" quotePrefix="0" xfId="0">
      <alignment wrapText="1"/>
    </xf>
    <xf numFmtId="0" fontId="4" fillId="5" borderId="4" applyAlignment="1" pivotButton="0" quotePrefix="0" xfId="0">
      <alignment vertical="center" wrapText="1"/>
    </xf>
    <xf numFmtId="0" fontId="8" fillId="0" borderId="0" pivotButton="0" quotePrefix="0" xfId="0"/>
    <xf numFmtId="0" fontId="9" fillId="4" borderId="0" pivotButton="0" quotePrefix="0" xfId="0"/>
    <xf numFmtId="0" fontId="9" fillId="4" borderId="7" pivotButton="0" quotePrefix="0" xfId="0"/>
    <xf numFmtId="0" fontId="9" fillId="4" borderId="8" pivotButton="0" quotePrefix="0" xfId="0"/>
    <xf numFmtId="0" fontId="9" fillId="4" borderId="9" pivotButton="0" quotePrefix="0" xfId="0"/>
    <xf numFmtId="0" fontId="9" fillId="4" borderId="7" applyAlignment="1" pivotButton="0" quotePrefix="0" xfId="0">
      <alignment wrapText="1"/>
    </xf>
    <xf numFmtId="0" fontId="9" fillId="4" borderId="8" applyAlignment="1" pivotButton="0" quotePrefix="0" xfId="0">
      <alignment wrapText="1"/>
    </xf>
    <xf numFmtId="0" fontId="9" fillId="4" borderId="9" applyAlignment="1" pivotButton="0" quotePrefix="0" xfId="0">
      <alignment wrapText="1"/>
    </xf>
    <xf numFmtId="0" fontId="9" fillId="4" borderId="7" applyAlignment="1" pivotButton="0" quotePrefix="0" xfId="0">
      <alignment horizontal="center" wrapText="1"/>
    </xf>
    <xf numFmtId="0" fontId="9" fillId="4" borderId="8" applyAlignment="1" pivotButton="0" quotePrefix="0" xfId="0">
      <alignment horizontal="center" wrapText="1"/>
    </xf>
    <xf numFmtId="0" fontId="9" fillId="4" borderId="9" applyAlignment="1" pivotButton="0" quotePrefix="0" xfId="0">
      <alignment horizontal="center" wrapText="1"/>
    </xf>
    <xf numFmtId="0" fontId="9" fillId="4" borderId="7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4" fillId="5" borderId="4" applyAlignment="1" pivotButton="0" quotePrefix="0" xfId="0">
      <alignment vertical="top" wrapText="1"/>
    </xf>
    <xf numFmtId="1" fontId="4" fillId="5" borderId="4" applyAlignment="1" pivotButton="0" quotePrefix="0" xfId="0">
      <alignment vertical="top" wrapText="1"/>
    </xf>
    <xf numFmtId="164" fontId="4" fillId="5" borderId="4" applyAlignment="1" pivotButton="0" quotePrefix="0" xfId="0">
      <alignment vertical="top" wrapText="1"/>
    </xf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top" wrapText="1"/>
    </xf>
    <xf numFmtId="1" fontId="4" fillId="5" borderId="2" applyAlignment="1" pivotButton="0" quotePrefix="0" xfId="0">
      <alignment vertical="top" wrapText="1"/>
    </xf>
    <xf numFmtId="3" fontId="4" fillId="5" borderId="4" applyAlignment="1" pivotButton="0" quotePrefix="0" xfId="0">
      <alignment vertical="top" wrapText="1"/>
    </xf>
    <xf numFmtId="0" fontId="2" fillId="3" borderId="6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3" fontId="4" fillId="5" borderId="4" applyAlignment="1" pivotButton="0" quotePrefix="0" xfId="0">
      <alignment vertical="center"/>
    </xf>
    <xf numFmtId="3" fontId="6" fillId="6" borderId="6" applyAlignment="1" pivotButton="0" quotePrefix="0" xfId="0">
      <alignment horizontal="right" vertical="center"/>
    </xf>
    <xf numFmtId="3" fontId="4" fillId="5" borderId="2" applyAlignment="1" pivotButton="0" quotePrefix="0" xfId="0">
      <alignment vertical="center"/>
    </xf>
    <xf numFmtId="3" fontId="4" fillId="5" borderId="5" applyAlignment="1" pivotButton="0" quotePrefix="0" xfId="0">
      <alignment vertical="center"/>
    </xf>
    <xf numFmtId="0" fontId="0" fillId="0" borderId="4" pivotButton="0" quotePrefix="0" xfId="0"/>
    <xf numFmtId="164" fontId="4" fillId="5" borderId="4" applyAlignment="1" pivotButton="0" quotePrefix="0" xfId="0">
      <alignment vertical="top" wrapText="1"/>
    </xf>
    <xf numFmtId="1" fontId="4" fillId="5" borderId="4" applyAlignment="1" pivotButton="0" quotePrefix="0" xfId="0">
      <alignment vertical="top" wrapText="1"/>
    </xf>
    <xf numFmtId="3" fontId="4" fillId="5" borderId="4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NewsLedgerTable" displayName="NewsLedgerTable" ref="A3:O4" headerRowCount="1" totalsRowCount="0" totalsRowShown="0">
  <autoFilter ref="A3:O4"/>
  <tableColumns count="15">
    <tableColumn id="1" name="Collected At (JST)"/>
    <tableColumn id="2" name="Published At"/>
    <tableColumn id="3" name="Region"/>
    <tableColumn id="4" name="Country / Area"/>
    <tableColumn id="5" name="Topic"/>
    <tableColumn id="6" name="Policy Relevance"/>
    <tableColumn id="7" name="Source Type"/>
    <tableColumn id="8" name="Source"/>
    <tableColumn id="9" name="Title"/>
    <tableColumn id="10" name="Summary"/>
    <tableColumn id="11" name="URL"/>
    <tableColumn id="12" name="Canonical ID"/>
    <tableColumn id="13" name="First Seen"/>
    <tableColumn id="14" name="Status"/>
    <tableColumn id="1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urceRegistryTable" displayName="SourceRegistryTable" ref="A3:K92" headerRowCount="1" totalsRowCount="0" totalsRowShown="0">
  <autoFilter ref="A3:K37"/>
  <tableColumns count="11">
    <tableColumn id="1" name="Active"/>
    <tableColumn id="2" name="Region"/>
    <tableColumn id="3" name="Country / Area"/>
    <tableColumn id="4" name="Category"/>
    <tableColumn id="5" name="Source"/>
    <tableColumn id="6" name="Organization"/>
    <tableColumn id="7" name="Feed URL"/>
    <tableColumn id="8" name="Homepage"/>
    <tableColumn id="9" name="Priority"/>
    <tableColumn id="10" name="Native Feed"/>
    <tableColumn id="11" name="Notes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RunLogTable" displayName="RunLogTable" ref="A3:H20" headerRowCount="1" totalsRowCount="0" totalsRowShown="0">
  <autoFilter ref="A3:H4"/>
  <tableColumns count="8">
    <tableColumn id="1" name="Run Time (JST)"/>
    <tableColumn id="2" name="Feeds Checked"/>
    <tableColumn id="3" name="Feeds Succeeded"/>
    <tableColumn id="4" name="New Items"/>
    <tableColumn id="5" name="Duplicates Skipped"/>
    <tableColumn id="6" name="Feed Errors"/>
    <tableColumn id="7" name="Duration (sec)"/>
    <tableColumn id="8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loomberg.com/feeds/technology/news.rss" TargetMode="External" Id="rId1" /><Relationship Type="http://schemas.openxmlformats.org/officeDocument/2006/relationships/hyperlink" Target="https://www.bloomberg.com/technology" TargetMode="External" Id="rId2" /><Relationship Type="http://schemas.openxmlformats.org/officeDocument/2006/relationships/hyperlink" Target="https://feeds.bbci.co.uk/news/science_and_environment/rss.xml" TargetMode="External" Id="rId3" /><Relationship Type="http://schemas.openxmlformats.org/officeDocument/2006/relationships/hyperlink" Target="https://www.bbc.com/news/science_and_environment" TargetMode="External" Id="rId4" /><Relationship Type="http://schemas.openxmlformats.org/officeDocument/2006/relationships/hyperlink" Target="https://feeds.bbci.co.uk/news/technology/rss.xml" TargetMode="External" Id="rId5" /><Relationship Type="http://schemas.openxmlformats.org/officeDocument/2006/relationships/hyperlink" Target="https://www.bbc.com/news/technology" TargetMode="External" Id="rId6" /><Relationship Type="http://schemas.openxmlformats.org/officeDocument/2006/relationships/hyperlink" Target="https://rss.nytimes.com/services/xml/rss/nyt/Technology.xml" TargetMode="External" Id="rId7" /><Relationship Type="http://schemas.openxmlformats.org/officeDocument/2006/relationships/hyperlink" Target="https://www.nytimes.com/section/technology" TargetMode="External" Id="rId8" /><Relationship Type="http://schemas.openxmlformats.org/officeDocument/2006/relationships/hyperlink" Target="https://rss.nytimes.com/services/xml/rss/nyt/Science.xml" TargetMode="External" Id="rId9" /><Relationship Type="http://schemas.openxmlformats.org/officeDocument/2006/relationships/hyperlink" Target="https://www.nytimes.com/section/science" TargetMode="External" Id="rId10" /><Relationship Type="http://schemas.openxmlformats.org/officeDocument/2006/relationships/hyperlink" Target="https://www.nistep.go.jp/feed" TargetMode="External" Id="rId11" /><Relationship Type="http://schemas.openxmlformats.org/officeDocument/2006/relationships/hyperlink" Target="https://www.nistep.go.jp/" TargetMode="External" Id="rId12" /><Relationship Type="http://schemas.openxmlformats.org/officeDocument/2006/relationships/hyperlink" Target="https://www.theguardian.com/technology/rss" TargetMode="External" Id="rId13" /><Relationship Type="http://schemas.openxmlformats.org/officeDocument/2006/relationships/hyperlink" Target="https://www.theguardian.com/technology" TargetMode="External" Id="rId14" /><Relationship Type="http://schemas.openxmlformats.org/officeDocument/2006/relationships/hyperlink" Target="https://www.technologyreview.com/feed/" TargetMode="External" Id="rId15" /><Relationship Type="http://schemas.openxmlformats.org/officeDocument/2006/relationships/hyperlink" Target="https://www.technologyreview.com/" TargetMode="External" Id="rId16" /><Relationship Type="http://schemas.openxmlformats.org/officeDocument/2006/relationships/hyperlink" Target="https://spectrum.ieee.org/feeds/feed.rss" TargetMode="External" Id="rId17" /><Relationship Type="http://schemas.openxmlformats.org/officeDocument/2006/relationships/hyperlink" Target="https://spectrum.ieee.org/" TargetMode="External" Id="rId18" /><Relationship Type="http://schemas.openxmlformats.org/officeDocument/2006/relationships/hyperlink" Target="https://www.nature.com/nature.rss" TargetMode="External" Id="rId19" /><Relationship Type="http://schemas.openxmlformats.org/officeDocument/2006/relationships/hyperlink" Target="https://www.nature.com/" TargetMode="External" Id="rId20" /><Relationship Type="http://schemas.openxmlformats.org/officeDocument/2006/relationships/hyperlink" Target="https://www.science.org/news/latest-news" TargetMode="External" Id="rId21" /><Relationship Type="http://schemas.openxmlformats.org/officeDocument/2006/relationships/hyperlink" Target="https://www.science.org/news/latest-news" TargetMode="External" Id="rId22" /><Relationship Type="http://schemas.openxmlformats.org/officeDocument/2006/relationships/hyperlink" Target="https://www.scmp.com/rss/36/feed" TargetMode="External" Id="rId23" /><Relationship Type="http://schemas.openxmlformats.org/officeDocument/2006/relationships/hyperlink" Target="https://www.scmp.com/tech" TargetMode="External" Id="rId24" /><Relationship Type="http://schemas.openxmlformats.org/officeDocument/2006/relationships/hyperlink" Target="https://www.arabnews.com/tags/technology" TargetMode="External" Id="rId25" /><Relationship Type="http://schemas.openxmlformats.org/officeDocument/2006/relationships/hyperlink" Target="https://www.arabnews.com/tags/technology" TargetMode="External" Id="rId26" /><Relationship Type="http://schemas.openxmlformats.org/officeDocument/2006/relationships/hyperlink" Target="https://www.thenationalnews.com/arc/outboundfeeds/rss/category/future/technology/?outputType=xml" TargetMode="External" Id="rId27" /><Relationship Type="http://schemas.openxmlformats.org/officeDocument/2006/relationships/hyperlink" Target="https://www.thenationalnews.com/future/technology/" TargetMode="External" Id="rId28" /><Relationship Type="http://schemas.openxmlformats.org/officeDocument/2006/relationships/hyperlink" Target="https://www.brookings.edu/tags/techtank/" TargetMode="External" Id="rId29" /><Relationship Type="http://schemas.openxmlformats.org/officeDocument/2006/relationships/hyperlink" Target="https://www.brookings.edu/tags/techtank/" TargetMode="External" Id="rId30" /><Relationship Type="http://schemas.openxmlformats.org/officeDocument/2006/relationships/hyperlink" Target="https://www.csis.org/rss.xml" TargetMode="External" Id="rId31" /><Relationship Type="http://schemas.openxmlformats.org/officeDocument/2006/relationships/hyperlink" Target="https://www.csis.org/analysis" TargetMode="External" Id="rId32" /><Relationship Type="http://schemas.openxmlformats.org/officeDocument/2006/relationships/hyperlink" Target="https://cset.georgetown.edu/feed/" TargetMode="External" Id="rId33" /><Relationship Type="http://schemas.openxmlformats.org/officeDocument/2006/relationships/hyperlink" Target="https://cset.georgetown.edu/" TargetMode="External" Id="rId34" /><Relationship Type="http://schemas.openxmlformats.org/officeDocument/2006/relationships/hyperlink" Target="https://www.bruegel.org/analysis" TargetMode="External" Id="rId35" /><Relationship Type="http://schemas.openxmlformats.org/officeDocument/2006/relationships/hyperlink" Target="https://www.bruegel.org/analysis" TargetMode="External" Id="rId36" /><Relationship Type="http://schemas.openxmlformats.org/officeDocument/2006/relationships/hyperlink" Target="https://merics.org/en/research" TargetMode="External" Id="rId37" /><Relationship Type="http://schemas.openxmlformats.org/officeDocument/2006/relationships/hyperlink" Target="https://merics.org/en/research" TargetMode="External" Id="rId38" /><Relationship Type="http://schemas.openxmlformats.org/officeDocument/2006/relationships/hyperlink" Target="https://www.nsf.gov/rss/rss_www_news.xml" TargetMode="External" Id="rId39" /><Relationship Type="http://schemas.openxmlformats.org/officeDocument/2006/relationships/hyperlink" Target="https://www.nsf.gov/news" TargetMode="External" Id="rId40" /><Relationship Type="http://schemas.openxmlformats.org/officeDocument/2006/relationships/hyperlink" Target="https://www.nist.gov/news-events/news/rss.xml" TargetMode="External" Id="rId41" /><Relationship Type="http://schemas.openxmlformats.org/officeDocument/2006/relationships/hyperlink" Target="https://www.nist.gov/news-events/news" TargetMode="External" Id="rId42" /><Relationship Type="http://schemas.openxmlformats.org/officeDocument/2006/relationships/hyperlink" Target="https://www.nih.gov/news-events/news-releases" TargetMode="External" Id="rId43" /><Relationship Type="http://schemas.openxmlformats.org/officeDocument/2006/relationships/hyperlink" Target="https://www.nih.gov/news-events/news-releases" TargetMode="External" Id="rId44" /><Relationship Type="http://schemas.openxmlformats.org/officeDocument/2006/relationships/hyperlink" Target="https://www.energy.gov/rss/science/3662436" TargetMode="External" Id="rId45" /><Relationship Type="http://schemas.openxmlformats.org/officeDocument/2006/relationships/hyperlink" Target="https://www.energy.gov/science/listings/office-science-news" TargetMode="External" Id="rId46" /><Relationship Type="http://schemas.openxmlformats.org/officeDocument/2006/relationships/hyperlink" Target="https://research-and-innovation.ec.europa.eu/news/all-research-and-innovation-news_en" TargetMode="External" Id="rId47" /><Relationship Type="http://schemas.openxmlformats.org/officeDocument/2006/relationships/hyperlink" Target="https://research-and-innovation.ec.europa.eu/news/all-research-and-innovation-news_en" TargetMode="External" Id="rId48" /><Relationship Type="http://schemas.openxmlformats.org/officeDocument/2006/relationships/hyperlink" Target="https://www.gov.uk/government/organisations/department-for-science-innovation-and-technology.atom" TargetMode="External" Id="rId49" /><Relationship Type="http://schemas.openxmlformats.org/officeDocument/2006/relationships/hyperlink" Target="https://www.gov.uk/government/organisations/department-for-science-innovation-and-technology" TargetMode="External" Id="rId50" /><Relationship Type="http://schemas.openxmlformats.org/officeDocument/2006/relationships/hyperlink" Target="https://www.meti.go.jp/english/press/index.html" TargetMode="External" Id="rId51" /><Relationship Type="http://schemas.openxmlformats.org/officeDocument/2006/relationships/hyperlink" Target="https://www.meti.go.jp/english/press/index.html" TargetMode="External" Id="rId52" /><Relationship Type="http://schemas.openxmlformats.org/officeDocument/2006/relationships/hyperlink" Target="https://www.who.int/rss-feeds/news-english.xml" TargetMode="External" Id="rId53" /><Relationship Type="http://schemas.openxmlformats.org/officeDocument/2006/relationships/hyperlink" Target="https://www.who.int/news" TargetMode="External" Id="rId54" /><Relationship Type="http://schemas.openxmlformats.org/officeDocument/2006/relationships/hyperlink" Target="https://www.iea.org/news" TargetMode="External" Id="rId55" /><Relationship Type="http://schemas.openxmlformats.org/officeDocument/2006/relationships/hyperlink" Target="https://www.iea.org/news" TargetMode="External" Id="rId56" /><Relationship Type="http://schemas.openxmlformats.org/officeDocument/2006/relationships/hyperlink" Target="https://www.oecd.org/en/about/newsroom.html" TargetMode="External" Id="rId57" /><Relationship Type="http://schemas.openxmlformats.org/officeDocument/2006/relationships/hyperlink" Target="https://www.oecd.org/en/about/newsroom.html" TargetMode="External" Id="rId58" /><Relationship Type="http://schemas.openxmlformats.org/officeDocument/2006/relationships/hyperlink" Target="https://openai.com/news/rss.xml" TargetMode="External" Id="rId59" /><Relationship Type="http://schemas.openxmlformats.org/officeDocument/2006/relationships/hyperlink" Target="https://openai.com/news/" TargetMode="External" Id="rId60" /><Relationship Type="http://schemas.openxmlformats.org/officeDocument/2006/relationships/hyperlink" Target="https://blog.google/technology/ai/rss/" TargetMode="External" Id="rId61" /><Relationship Type="http://schemas.openxmlformats.org/officeDocument/2006/relationships/hyperlink" Target="https://blog.google/technology/ai/" TargetMode="External" Id="rId62" /><Relationship Type="http://schemas.openxmlformats.org/officeDocument/2006/relationships/hyperlink" Target="https://blogs.nvidia.com/feed/" TargetMode="External" Id="rId63" /><Relationship Type="http://schemas.openxmlformats.org/officeDocument/2006/relationships/hyperlink" Target="https://blogs.nvidia.com/" TargetMode="External" Id="rId64" /><Relationship Type="http://schemas.openxmlformats.org/officeDocument/2006/relationships/hyperlink" Target="https://newsroom.intel.com/feed" TargetMode="External" Id="rId65" /><Relationship Type="http://schemas.openxmlformats.org/officeDocument/2006/relationships/hyperlink" Target="https://newsroom.intel.com/" TargetMode="External" Id="rId66" /><Relationship Type="http://schemas.openxmlformats.org/officeDocument/2006/relationships/hyperlink" Target="https://research.ibm.com/blog" TargetMode="External" Id="rId67" /><Relationship Type="http://schemas.openxmlformats.org/officeDocument/2006/relationships/hyperlink" Target="https://research.ibm.com/blog" TargetMode="External" Id="rId68" /><Relationship Type="http://schemas.openxmlformats.org/officeDocument/2006/relationships/hyperlink" Target="https://www.microsoft.com/en-us/research/feed/" TargetMode="External" Id="rId69" /><Relationship Type="http://schemas.openxmlformats.org/officeDocument/2006/relationships/hyperlink" Target="https://www.microsoft.com/en-us/research/blog/" TargetMode="External" Id="rId70" /><Relationship Type="http://schemas.openxmlformats.org/officeDocument/2006/relationships/hyperlink" Target="https://news.samsung.com/global/feed" TargetMode="External" Id="rId71" /><Relationship Type="http://schemas.openxmlformats.org/officeDocument/2006/relationships/hyperlink" Target="https://news.samsung.com/global/" TargetMode="External" Id="rId72" /><Relationship Type="http://schemas.openxmlformats.org/officeDocument/2006/relationships/hyperlink" Target="https://www.anthropic.com/news" TargetMode="External" Id="rId73" /><Relationship Type="http://schemas.openxmlformats.org/officeDocument/2006/relationships/hyperlink" Target="https://www.anthropic.com/news" TargetMode="External" Id="rId74" /><Relationship Type="http://schemas.openxmlformats.org/officeDocument/2006/relationships/hyperlink" Target="https://deepmind.google/discover/blog/" TargetMode="External" Id="rId75" /><Relationship Type="http://schemas.openxmlformats.org/officeDocument/2006/relationships/hyperlink" Target="https://deepmind.google/discover/blog/" TargetMode="External" Id="rId76" /><Relationship Type="http://schemas.openxmlformats.org/officeDocument/2006/relationships/hyperlink" Target="https://ai.meta.com/blog/" TargetMode="External" Id="rId77" /><Relationship Type="http://schemas.openxmlformats.org/officeDocument/2006/relationships/hyperlink" Target="https://ai.meta.com/blog/" TargetMode="External" Id="rId78" /><Relationship Type="http://schemas.openxmlformats.org/officeDocument/2006/relationships/hyperlink" Target="https://www.amazon.science/latest-news" TargetMode="External" Id="rId79" /><Relationship Type="http://schemas.openxmlformats.org/officeDocument/2006/relationships/hyperlink" Target="https://www.amazon.science/latest-news" TargetMode="External" Id="rId80" /><Relationship Type="http://schemas.openxmlformats.org/officeDocument/2006/relationships/hyperlink" Target="https://mistral.ai/news" TargetMode="External" Id="rId81" /><Relationship Type="http://schemas.openxmlformats.org/officeDocument/2006/relationships/hyperlink" Target="https://mistral.ai/" TargetMode="External" Id="rId82" /><Relationship Type="http://schemas.openxmlformats.org/officeDocument/2006/relationships/hyperlink" Target="https://bostondynamics.com/blog/" TargetMode="External" Id="rId83" /><Relationship Type="http://schemas.openxmlformats.org/officeDocument/2006/relationships/hyperlink" Target="https://bostondynamics.com/blog/" TargetMode="External" Id="rId84" /><Relationship Type="http://schemas.openxmlformats.org/officeDocument/2006/relationships/hyperlink" Target="https://www.tri.global/news" TargetMode="External" Id="rId85" /><Relationship Type="http://schemas.openxmlformats.org/officeDocument/2006/relationships/hyperlink" Target="https://www.tri.global/news" TargetMode="External" Id="rId86" /><Relationship Type="http://schemas.openxmlformats.org/officeDocument/2006/relationships/hyperlink" Target="https://new.abb.com/news" TargetMode="External" Id="rId87" /><Relationship Type="http://schemas.openxmlformats.org/officeDocument/2006/relationships/hyperlink" Target="https://new.abb.com/products/robotics" TargetMode="External" Id="rId88" /><Relationship Type="http://schemas.openxmlformats.org/officeDocument/2006/relationships/hyperlink" Target="https://www.fanucamerica.com/press-releases" TargetMode="External" Id="rId89" /><Relationship Type="http://schemas.openxmlformats.org/officeDocument/2006/relationships/hyperlink" Target="https://www.fanuc.co.jp/eindex.html" TargetMode="External" Id="rId90" /><Relationship Type="http://schemas.openxmlformats.org/officeDocument/2006/relationships/hyperlink" Target="https://pr.tsmc.com/english/latest-news" TargetMode="External" Id="rId91" /><Relationship Type="http://schemas.openxmlformats.org/officeDocument/2006/relationships/hyperlink" Target="https://pr.tsmc.com/english" TargetMode="External" Id="rId92" /><Relationship Type="http://schemas.openxmlformats.org/officeDocument/2006/relationships/hyperlink" Target="https://www.asml.com/en/news/press-releases" TargetMode="External" Id="rId93" /><Relationship Type="http://schemas.openxmlformats.org/officeDocument/2006/relationships/hyperlink" Target="https://www.asml.com/en/news/press-releases" TargetMode="External" Id="rId94" /><Relationship Type="http://schemas.openxmlformats.org/officeDocument/2006/relationships/hyperlink" Target="https://news.skhynix.com/" TargetMode="External" Id="rId95" /><Relationship Type="http://schemas.openxmlformats.org/officeDocument/2006/relationships/hyperlink" Target="https://news.skhynix.com/" TargetMode="External" Id="rId96" /><Relationship Type="http://schemas.openxmlformats.org/officeDocument/2006/relationships/hyperlink" Target="https://newsroom.arm.com/news" TargetMode="External" Id="rId97" /><Relationship Type="http://schemas.openxmlformats.org/officeDocument/2006/relationships/hyperlink" Target="https://newsroom.arm.com/" TargetMode="External" Id="rId98" /><Relationship Type="http://schemas.openxmlformats.org/officeDocument/2006/relationships/hyperlink" Target="https://www.qualcomm.com/news/releases" TargetMode="External" Id="rId99" /><Relationship Type="http://schemas.openxmlformats.org/officeDocument/2006/relationships/hyperlink" Target="https://www.qualcomm.com/news/releases" TargetMode="External" Id="rId100" /><Relationship Type="http://schemas.openxmlformats.org/officeDocument/2006/relationships/hyperlink" Target="https://www.ericsson.com/en/newsroom" TargetMode="External" Id="rId101" /><Relationship Type="http://schemas.openxmlformats.org/officeDocument/2006/relationships/hyperlink" Target="https://www.ericsson.com/en/newsroom" TargetMode="External" Id="rId102" /><Relationship Type="http://schemas.openxmlformats.org/officeDocument/2006/relationships/hyperlink" Target="https://www.nokia.com/about-us/newsroom/" TargetMode="External" Id="rId103" /><Relationship Type="http://schemas.openxmlformats.org/officeDocument/2006/relationships/hyperlink" Target="https://www.nokia.com/about-us/newsroom/" TargetMode="External" Id="rId104" /><Relationship Type="http://schemas.openxmlformats.org/officeDocument/2006/relationships/hyperlink" Target="https://group.ntt/en/newsrelease/" TargetMode="External" Id="rId105" /><Relationship Type="http://schemas.openxmlformats.org/officeDocument/2006/relationships/hyperlink" Target="https://group.ntt/en/newsrelease/" TargetMode="External" Id="rId106" /><Relationship Type="http://schemas.openxmlformats.org/officeDocument/2006/relationships/hyperlink" Target="https://www.rapidus.inc/en/news_topics/" TargetMode="External" Id="rId107" /><Relationship Type="http://schemas.openxmlformats.org/officeDocument/2006/relationships/hyperlink" Target="https://www.rapidus.inc/en/news_topics/" TargetMode="External" Id="rId108" /><Relationship Type="http://schemas.openxmlformats.org/officeDocument/2006/relationships/hyperlink" Target="https://www.quantinuum.com/news/news" TargetMode="External" Id="rId109" /><Relationship Type="http://schemas.openxmlformats.org/officeDocument/2006/relationships/hyperlink" Target="https://www.quantinuum.com/news/news" TargetMode="External" Id="rId110" /><Relationship Type="http://schemas.openxmlformats.org/officeDocument/2006/relationships/hyperlink" Target="https://www.ionq.com/news" TargetMode="External" Id="rId111" /><Relationship Type="http://schemas.openxmlformats.org/officeDocument/2006/relationships/hyperlink" Target="https://www.ionq.com/news" TargetMode="External" Id="rId112" /><Relationship Type="http://schemas.openxmlformats.org/officeDocument/2006/relationships/hyperlink" Target="https://cfs.energy/news-and-media/" TargetMode="External" Id="rId113" /><Relationship Type="http://schemas.openxmlformats.org/officeDocument/2006/relationships/hyperlink" Target="https://cfs.energy/news-and-media/" TargetMode="External" Id="rId114" /><Relationship Type="http://schemas.openxmlformats.org/officeDocument/2006/relationships/hyperlink" Target="https://www.helionenergy.com/blog" TargetMode="External" Id="rId115" /><Relationship Type="http://schemas.openxmlformats.org/officeDocument/2006/relationships/hyperlink" Target="https://www.helionenergy.com/blog" TargetMode="External" Id="rId116" /><Relationship Type="http://schemas.openxmlformats.org/officeDocument/2006/relationships/hyperlink" Target="https://tokamakenergy.com/latest-news/" TargetMode="External" Id="rId117" /><Relationship Type="http://schemas.openxmlformats.org/officeDocument/2006/relationships/hyperlink" Target="https://tokamakenergy.com/latest-news/" TargetMode="External" Id="rId118" /><Relationship Type="http://schemas.openxmlformats.org/officeDocument/2006/relationships/hyperlink" Target="https://kyotofusioneering.com/en/news/" TargetMode="External" Id="rId119" /><Relationship Type="http://schemas.openxmlformats.org/officeDocument/2006/relationships/hyperlink" Target="https://kyotofusioneering.com/en/news/" TargetMode="External" Id="rId120" /><Relationship Type="http://schemas.openxmlformats.org/officeDocument/2006/relationships/hyperlink" Target="https://www.modernatx.com/media-center/all-media" TargetMode="External" Id="rId121" /><Relationship Type="http://schemas.openxmlformats.org/officeDocument/2006/relationships/hyperlink" Target="https://www.modernatx.com/media-center/all-media" TargetMode="External" Id="rId122" /><Relationship Type="http://schemas.openxmlformats.org/officeDocument/2006/relationships/hyperlink" Target="https://www.biontech.com/int/en/home/mediaroom/news.html" TargetMode="External" Id="rId123" /><Relationship Type="http://schemas.openxmlformats.org/officeDocument/2006/relationships/hyperlink" Target="https://www.biontech.com/int/en/home/mediaroom/news.html" TargetMode="External" Id="rId124" /><Relationship Type="http://schemas.openxmlformats.org/officeDocument/2006/relationships/hyperlink" Target="https://www.roche.com/media/releases" TargetMode="External" Id="rId125" /><Relationship Type="http://schemas.openxmlformats.org/officeDocument/2006/relationships/hyperlink" Target="https://www.roche.com/media/releases" TargetMode="External" Id="rId126" /><Relationship Type="http://schemas.openxmlformats.org/officeDocument/2006/relationships/hyperlink" Target="https://www.astrazeneca.com/media-centre/press-releases.html" TargetMode="External" Id="rId127" /><Relationship Type="http://schemas.openxmlformats.org/officeDocument/2006/relationships/hyperlink" Target="https://www.astrazeneca.com/media-centre/press-releases.html" TargetMode="External" Id="rId128" /><Relationship Type="http://schemas.openxmlformats.org/officeDocument/2006/relationships/hyperlink" Target="https://www.illumina.com/company/news-center.html" TargetMode="External" Id="rId129" /><Relationship Type="http://schemas.openxmlformats.org/officeDocument/2006/relationships/hyperlink" Target="https://www.illumina.com/company/news-center.html" TargetMode="External" Id="rId130" /><Relationship Type="http://schemas.openxmlformats.org/officeDocument/2006/relationships/hyperlink" Target="https://www.spacex.com/updates" TargetMode="External" Id="rId131" /><Relationship Type="http://schemas.openxmlformats.org/officeDocument/2006/relationships/hyperlink" Target="https://www.spacex.com/updates" TargetMode="External" Id="rId132" /><Relationship Type="http://schemas.openxmlformats.org/officeDocument/2006/relationships/hyperlink" Target="https://www.blueorigin.com/news" TargetMode="External" Id="rId133" /><Relationship Type="http://schemas.openxmlformats.org/officeDocument/2006/relationships/hyperlink" Target="https://www.blueorigin.com/news" TargetMode="External" Id="rId134" /><Relationship Type="http://schemas.openxmlformats.org/officeDocument/2006/relationships/hyperlink" Target="https://rocketlabcorp.com/updates/" TargetMode="External" Id="rId135" /><Relationship Type="http://schemas.openxmlformats.org/officeDocument/2006/relationships/hyperlink" Target="https://rocketlabcorp.com/updates/" TargetMode="External" Id="rId136" /><Relationship Type="http://schemas.openxmlformats.org/officeDocument/2006/relationships/hyperlink" Target="https://www.astroscale.com/en/news/" TargetMode="External" Id="rId137" /><Relationship Type="http://schemas.openxmlformats.org/officeDocument/2006/relationships/hyperlink" Target="https://www.astroscale.com/en/news/" TargetMode="External" Id="rId138" /><Relationship Type="http://schemas.openxmlformats.org/officeDocument/2006/relationships/hyperlink" Target="https://www.ispace-inc.com/news/" TargetMode="External" Id="rId139" /><Relationship Type="http://schemas.openxmlformats.org/officeDocument/2006/relationships/hyperlink" Target="https://www.ispace-inc.com/news/" TargetMode="External" Id="rId140" /><Relationship Type="http://schemas.openxmlformats.org/officeDocument/2006/relationships/hyperlink" Target="https://www.iter.org/news" TargetMode="External" Id="rId141" /><Relationship Type="http://schemas.openxmlformats.org/officeDocument/2006/relationships/hyperlink" Target="https://www.iter.org/news" TargetMode="External" Id="rId142" /><Relationship Type="http://schemas.openxmlformats.org/officeDocument/2006/relationships/hyperlink" Target="https://www.fusionindustryassociation.org/feed/" TargetMode="External" Id="rId143" /><Relationship Type="http://schemas.openxmlformats.org/officeDocument/2006/relationships/hyperlink" Target="https://www.fusionindustryassociation.org/" TargetMode="External" Id="rId144" /><Relationship Type="http://schemas.openxmlformats.org/officeDocument/2006/relationships/hyperlink" Target="https://www8.cao.go.jp/cstp/tougosenryaku/index.html" TargetMode="External" Id="rId145" /><Relationship Type="http://schemas.openxmlformats.org/officeDocument/2006/relationships/hyperlink" Target="https://www8.cao.go.jp/cstp/tougosenryaku/index.html" TargetMode="External" Id="rId146" /><Relationship Type="http://schemas.openxmlformats.org/officeDocument/2006/relationships/hyperlink" Target="https://www.cas.go.jp/jp/seisakukaigi/titeki2/" TargetMode="External" Id="rId147" /><Relationship Type="http://schemas.openxmlformats.org/officeDocument/2006/relationships/hyperlink" Target="https://www.cas.go.jp/jp/seisakukaigi/titeki2/" TargetMode="External" Id="rId148" /><Relationship Type="http://schemas.openxmlformats.org/officeDocument/2006/relationships/hyperlink" Target="https://www.jst.go.jp/crds/report/by-category/05/index.html" TargetMode="External" Id="rId149" /><Relationship Type="http://schemas.openxmlformats.org/officeDocument/2006/relationships/hyperlink" Target="https://www.jst.go.jp/crds/" TargetMode="External" Id="rId150" /><Relationship Type="http://schemas.openxmlformats.org/officeDocument/2006/relationships/hyperlink" Target="https://www.whitehouse.gov/ostp/news/" TargetMode="External" Id="rId151" /><Relationship Type="http://schemas.openxmlformats.org/officeDocument/2006/relationships/hyperlink" Target="https://www.whitehouse.gov/ostp/" TargetMode="External" Id="rId152" /><Relationship Type="http://schemas.openxmlformats.org/officeDocument/2006/relationships/hyperlink" Target="https://www.wipo.int/pressroom/en/articles/archive.html" TargetMode="External" Id="rId153" /><Relationship Type="http://schemas.openxmlformats.org/officeDocument/2006/relationships/hyperlink" Target="https://www.wipo.int/pressroom/en/" TargetMode="External" Id="rId154" /><Relationship Type="http://schemas.openxmlformats.org/officeDocument/2006/relationships/hyperlink" Target="https://www.epo.org/en/news-events/news/feed" TargetMode="External" Id="rId155" /><Relationship Type="http://schemas.openxmlformats.org/officeDocument/2006/relationships/hyperlink" Target="https://www.epo.org/en/news-events/news" TargetMode="External" Id="rId156" /><Relationship Type="http://schemas.openxmlformats.org/officeDocument/2006/relationships/hyperlink" Target="https://home.treasury.gov/news/press-releases" TargetMode="External" Id="rId157" /><Relationship Type="http://schemas.openxmlformats.org/officeDocument/2006/relationships/hyperlink" Target="https://home.treasury.gov/news/press-releases" TargetMode="External" Id="rId158" /><Relationship Type="http://schemas.openxmlformats.org/officeDocument/2006/relationships/hyperlink" Target="https://english.www.gov.cn/policies/" TargetMode="External" Id="rId159" /><Relationship Type="http://schemas.openxmlformats.org/officeDocument/2006/relationships/hyperlink" Target="https://english.www.gov.cn/policies/" TargetMode="External" Id="rId160" /><Relationship Type="http://schemas.openxmlformats.org/officeDocument/2006/relationships/hyperlink" Target="https://www.msit.go.kr/eng/bbs/list.do?mId=4&amp;mPid=2&amp;sCode=eng" TargetMode="External" Id="rId161" /><Relationship Type="http://schemas.openxmlformats.org/officeDocument/2006/relationships/hyperlink" Target="https://www.msit.go.kr/eng/" TargetMode="External" Id="rId162" /><Relationship Type="http://schemas.openxmlformats.org/officeDocument/2006/relationships/hyperlink" Target="https://eic.ec.europa.eu/news_en" TargetMode="External" Id="rId163" /><Relationship Type="http://schemas.openxmlformats.org/officeDocument/2006/relationships/hyperlink" Target="https://eic.ec.europa.eu/news_en" TargetMode="External" Id="rId164" /><Relationship Type="http://schemas.openxmlformats.org/officeDocument/2006/relationships/hyperlink" Target="https://www.atrc.gov.ae/news" TargetMode="External" Id="rId165" /><Relationship Type="http://schemas.openxmlformats.org/officeDocument/2006/relationships/hyperlink" Target="https://www.atrc.gov.ae/news" TargetMode="External" Id="rId166" /><Relationship Type="http://schemas.openxmlformats.org/officeDocument/2006/relationships/hyperlink" Target="https://www.rdia.gov.sa/en/media-center/news/" TargetMode="External" Id="rId167" /><Relationship Type="http://schemas.openxmlformats.org/officeDocument/2006/relationships/hyperlink" Target="https://www.rdia.gov.sa/en/" TargetMode="External" Id="rId168" /><Relationship Type="http://schemas.openxmlformats.org/officeDocument/2006/relationships/hyperlink" Target="https://innovationisrael.org.il/en/press_release/" TargetMode="External" Id="rId169" /><Relationship Type="http://schemas.openxmlformats.org/officeDocument/2006/relationships/hyperlink" Target="https://innovationisrael.org.il/en/press_release/" TargetMode="External" Id="rId170" /><Relationship Type="http://schemas.openxmlformats.org/officeDocument/2006/relationships/hyperlink" Target="https://moiat.gov.ae/en/media-center/news" TargetMode="External" Id="rId171" /><Relationship Type="http://schemas.openxmlformats.org/officeDocument/2006/relationships/hyperlink" Target="https://moiat.gov.ae/en/media-center/news" TargetMode="External" Id="rId172" /><Relationship Type="http://schemas.openxmlformats.org/officeDocument/2006/relationships/hyperlink" Target="https://api.openalex.org/works" TargetMode="External" Id="rId173" /><Relationship Type="http://schemas.openxmlformats.org/officeDocument/2006/relationships/hyperlink" Target="https://openalex.org/" TargetMode="External" Id="rId174" /><Relationship Type="http://schemas.openxmlformats.org/officeDocument/2006/relationships/hyperlink" Target="https://api.openalex.org/works" TargetMode="External" Id="rId175" /><Relationship Type="http://schemas.openxmlformats.org/officeDocument/2006/relationships/hyperlink" Target="https://openalex.org/" TargetMode="External" Id="rId176" /><Relationship Type="http://schemas.openxmlformats.org/officeDocument/2006/relationships/hyperlink" Target="https://api.openalex.org/works" TargetMode="External" Id="rId177" /><Relationship Type="http://schemas.openxmlformats.org/officeDocument/2006/relationships/hyperlink" Target="https://openalex.org/" TargetMode="External" Id="rId178" /><Relationship Type="http://schemas.openxmlformats.org/officeDocument/2006/relationships/table" Target="/xl/tables/table2.xml" Id="rId17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" customWidth="1" min="3" max="3"/>
    <col width="24" customWidth="1" min="4" max="4"/>
    <col width="12" customWidth="1" min="5" max="5"/>
    <col width="3" customWidth="1" min="6" max="6"/>
    <col width="30" customWidth="1" min="7" max="7"/>
    <col width="12" customWidth="1" min="8" max="8"/>
  </cols>
  <sheetData>
    <row r="1" ht="34" customHeight="1">
      <c r="A1" s="4" t="inlineStr">
        <is>
          <t>World Innovation Brief</t>
        </is>
      </c>
    </row>
    <row r="2" ht="25" customHeight="1">
      <c r="A2" s="67" t="inlineStr">
        <is>
          <t>Global innovation policy and emerging-technology ledger</t>
        </is>
      </c>
      <c r="B2" s="68" t="n"/>
      <c r="C2" s="68" t="n"/>
      <c r="D2" s="68" t="n"/>
      <c r="E2" s="68" t="n"/>
      <c r="F2" s="68" t="n"/>
      <c r="G2" s="68" t="n"/>
      <c r="H2" s="69" t="n"/>
    </row>
    <row r="3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26" customHeight="1">
      <c r="A4" s="19" t="inlineStr">
        <is>
          <t>Operations</t>
        </is>
      </c>
      <c r="C4" s="46" t="n"/>
      <c r="D4" s="19" t="inlineStr">
        <is>
          <t>By region</t>
        </is>
      </c>
      <c r="F4" s="46" t="n"/>
      <c r="G4" s="19" t="inlineStr">
        <is>
          <t>By topic</t>
        </is>
      </c>
    </row>
    <row r="5">
      <c r="A5" s="28" t="inlineStr">
        <is>
          <t>Last update (JST)</t>
        </is>
      </c>
      <c r="B5" s="25" t="inlineStr">
        <is>
          <t>2026-07-27T06:32:05+09:00</t>
        </is>
      </c>
      <c r="C5" s="46" t="n"/>
      <c r="D5" s="25" t="inlineStr">
        <is>
          <t>United States</t>
        </is>
      </c>
      <c r="E5" s="70">
        <f>COUNTIF('News Ledger'!$C$4:$C$10003,D5)</f>
        <v/>
      </c>
      <c r="F5" s="46" t="n"/>
      <c r="G5" s="25" t="inlineStr">
        <is>
          <t>Innovation Policy</t>
        </is>
      </c>
      <c r="H5" s="70">
        <f>COUNTIF('News Ledger'!$E$4:$E$10003,"*Innovation Policy*")</f>
        <v/>
      </c>
    </row>
    <row r="6">
      <c r="A6" s="29" t="inlineStr">
        <is>
          <t>Ledger articles</t>
        </is>
      </c>
      <c r="B6" s="71">
        <f>COUNTA('News Ledger'!$I$4:$I$10003)</f>
        <v/>
      </c>
      <c r="C6" s="46" t="n"/>
      <c r="D6" s="26" t="inlineStr">
        <is>
          <t>Asia</t>
        </is>
      </c>
      <c r="E6" s="72">
        <f>COUNTIF('News Ledger'!$C$4:$C$10003,D6)</f>
        <v/>
      </c>
      <c r="F6" s="46" t="n"/>
      <c r="G6" s="26" t="inlineStr">
        <is>
          <t>Artificial Intelligence</t>
        </is>
      </c>
      <c r="H6" s="72">
        <f>COUNTIF('News Ledger'!$E$4:$E$10003,"*Artificial Intelligence*")</f>
        <v/>
      </c>
    </row>
    <row r="7">
      <c r="A7" s="29" t="inlineStr">
        <is>
          <t>Policy score 3+</t>
        </is>
      </c>
      <c r="B7" s="71">
        <f>COUNTIF('News Ledger'!$F$4:$F$10003,"&gt;=3")</f>
        <v/>
      </c>
      <c r="C7" s="46" t="n"/>
      <c r="D7" s="26" t="inlineStr">
        <is>
          <t>EU &amp; Europe</t>
        </is>
      </c>
      <c r="E7" s="72">
        <f>COUNTIF('News Ledger'!$C$4:$C$10003,D7)</f>
        <v/>
      </c>
      <c r="F7" s="46" t="n"/>
      <c r="G7" s="26" t="inlineStr">
        <is>
          <t>Robotics</t>
        </is>
      </c>
      <c r="H7" s="72">
        <f>COUNTIF('News Ledger'!$E$4:$E$10003,"*Robotics*")</f>
        <v/>
      </c>
    </row>
    <row r="8">
      <c r="A8" s="30" t="inlineStr">
        <is>
          <t>Active sources</t>
        </is>
      </c>
      <c r="B8" s="71">
        <f>COUNTIF('Source Registry'!$A$4:$A$103,"Yes")</f>
        <v/>
      </c>
      <c r="C8" s="46" t="n"/>
      <c r="D8" s="26" t="inlineStr">
        <is>
          <t>Middle East</t>
        </is>
      </c>
      <c r="E8" s="72">
        <f>COUNTIF('News Ledger'!$C$4:$C$10003,D8)</f>
        <v/>
      </c>
      <c r="F8" s="46" t="n"/>
      <c r="G8" s="26" t="inlineStr">
        <is>
          <t>Semiconductors &amp; Telecom</t>
        </is>
      </c>
      <c r="H8" s="72">
        <f>COUNTIF('News Ledger'!$E$4:$E$10003,"*Semiconductors &amp; Telecom*")</f>
        <v/>
      </c>
    </row>
    <row r="9">
      <c r="A9" s="46" t="n"/>
      <c r="B9" s="46" t="n"/>
      <c r="C9" s="46" t="n"/>
      <c r="D9" s="27" t="inlineStr">
        <is>
          <t>Global</t>
        </is>
      </c>
      <c r="E9" s="73">
        <f>COUNTIF('News Ledger'!$C$4:$C$10003,D9)</f>
        <v/>
      </c>
      <c r="F9" s="46" t="n"/>
      <c r="G9" s="26" t="inlineStr">
        <is>
          <t>Quantum</t>
        </is>
      </c>
      <c r="H9" s="72">
        <f>COUNTIF('News Ledger'!$E$4:$E$10003,"*Quantum*")</f>
        <v/>
      </c>
    </row>
    <row r="10">
      <c r="A10" s="46" t="n"/>
      <c r="B10" s="46" t="n"/>
      <c r="C10" s="46" t="n"/>
      <c r="D10" s="46" t="n"/>
      <c r="E10" s="46" t="n"/>
      <c r="F10" s="46" t="n"/>
      <c r="G10" s="26" t="inlineStr">
        <is>
          <t>Fusion Energy</t>
        </is>
      </c>
      <c r="H10" s="72">
        <f>COUNTIF('News Ledger'!$E$4:$E$10003,"*Fusion Energy*")</f>
        <v/>
      </c>
    </row>
    <row r="11">
      <c r="A11" s="46" t="n"/>
      <c r="B11" s="46" t="n"/>
      <c r="C11" s="46" t="n"/>
      <c r="D11" s="46" t="n"/>
      <c r="E11" s="46" t="n"/>
      <c r="F11" s="46" t="n"/>
      <c r="G11" s="26" t="inlineStr">
        <is>
          <t>Biotechnology</t>
        </is>
      </c>
      <c r="H11" s="72">
        <f>COUNTIF('News Ledger'!$E$4:$E$10003,"*Biotechnology*")</f>
        <v/>
      </c>
    </row>
    <row r="12">
      <c r="A12" s="46" t="n"/>
      <c r="B12" s="46" t="n"/>
      <c r="C12" s="46" t="n"/>
      <c r="D12" s="46" t="n"/>
      <c r="E12" s="46" t="n"/>
      <c r="F12" s="46" t="n"/>
      <c r="G12" s="27" t="inlineStr">
        <is>
          <t>Healthcare</t>
        </is>
      </c>
      <c r="H12" s="73">
        <f>COUNTIF('News Ledger'!$E$4:$E$10003,"*Healthcare*")</f>
        <v/>
      </c>
    </row>
    <row r="13">
      <c r="A13" s="46" t="n"/>
      <c r="B13" s="46" t="n"/>
      <c r="C13" s="46" t="n"/>
      <c r="D13" s="46" t="n"/>
      <c r="E13" s="46" t="n"/>
      <c r="F13" s="46" t="n"/>
      <c r="G13" s="46" t="n"/>
      <c r="H13" s="46" t="n"/>
    </row>
    <row r="14" ht="26" customHeight="1">
      <c r="A14" s="43" t="inlineStr">
        <is>
          <t>How to use this ledger</t>
        </is>
      </c>
    </row>
    <row r="15" ht="28" customHeight="1">
      <c r="A15" s="45" t="inlineStr">
        <is>
          <t>1. Filter News Ledger by region, topic, and source; verify details at the original URL.</t>
        </is>
      </c>
      <c r="B15" s="74" t="n"/>
      <c r="C15" s="74" t="n"/>
      <c r="D15" s="74" t="n"/>
      <c r="E15" s="74" t="n"/>
      <c r="F15" s="74" t="n"/>
      <c r="G15" s="74" t="n"/>
      <c r="H15" s="74" t="n"/>
    </row>
    <row r="16" ht="28" customHeight="1">
      <c r="A16" s="45" t="inlineStr">
        <is>
          <t>2. Policy relevance is scored 0–5 from source type and policy terms.</t>
        </is>
      </c>
      <c r="B16" s="74" t="n"/>
      <c r="C16" s="74" t="n"/>
      <c r="D16" s="74" t="n"/>
      <c r="E16" s="74" t="n"/>
      <c r="F16" s="74" t="n"/>
      <c r="G16" s="74" t="n"/>
      <c r="H16" s="74" t="n"/>
    </row>
    <row r="17" ht="28" customHeight="1">
      <c r="A17" s="45" t="inlineStr">
        <is>
          <t>3. Canonical URLs and title fingerprints remove repeat coverage.</t>
        </is>
      </c>
      <c r="B17" s="74" t="n"/>
      <c r="C17" s="74" t="n"/>
      <c r="D17" s="74" t="n"/>
      <c r="E17" s="74" t="n"/>
      <c r="F17" s="74" t="n"/>
      <c r="G17" s="74" t="n"/>
      <c r="H17" s="74" t="n"/>
    </row>
    <row r="18" ht="28" customHeight="1">
      <c r="A18" s="45" t="inlineStr">
        <is>
          <t>4. Source Registry is an allowlist; anonymous blogs and content farms are excluded.</t>
        </is>
      </c>
      <c r="B18" s="74" t="n"/>
      <c r="C18" s="74" t="n"/>
      <c r="D18" s="74" t="n"/>
      <c r="E18" s="74" t="n"/>
      <c r="F18" s="74" t="n"/>
      <c r="G18" s="74" t="n"/>
      <c r="H18" s="74" t="n"/>
    </row>
  </sheetData>
  <mergeCells count="10">
    <mergeCell ref="A4:B4"/>
    <mergeCell ref="G4:H4"/>
    <mergeCell ref="A18:H18"/>
    <mergeCell ref="A15:H15"/>
    <mergeCell ref="A2:H2"/>
    <mergeCell ref="A16:H16"/>
    <mergeCell ref="D4:E4"/>
    <mergeCell ref="A14:H14"/>
    <mergeCell ref="A1:H1"/>
    <mergeCell ref="A17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8" customWidth="1" min="4" max="4"/>
    <col width="28" customWidth="1" min="5" max="5"/>
    <col width="16" customWidth="1" min="6" max="6"/>
    <col width="22" customWidth="1" min="7" max="7"/>
    <col width="27" customWidth="1" min="8" max="8"/>
    <col width="56" customWidth="1" min="9" max="9"/>
    <col width="72" customWidth="1" min="10" max="10"/>
    <col width="48" customWidth="1" min="11" max="11"/>
    <col width="25" customWidth="1" min="12" max="12"/>
    <col width="20" customWidth="1" min="13" max="13"/>
    <col width="14" customWidth="1" min="14" max="14"/>
    <col width="30" customWidth="1" min="15" max="15"/>
  </cols>
  <sheetData>
    <row r="1" ht="34" customHeight="1">
      <c r="A1" s="4" t="inlineStr">
        <is>
          <t>News Ledger</t>
        </is>
      </c>
    </row>
    <row r="2" ht="25" customHeight="1">
      <c r="A2" s="67" t="inlineStr">
        <is>
          <t>Master article ledger with canonical-URL and title-fingerprint deduplication</t>
        </is>
      </c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9" t="n"/>
    </row>
    <row r="3" ht="31" customHeight="1">
      <c r="A3" s="57" t="inlineStr">
        <is>
          <t>Collected At (JST)</t>
        </is>
      </c>
      <c r="B3" s="58" t="inlineStr">
        <is>
          <t>Published At</t>
        </is>
      </c>
      <c r="C3" s="58" t="inlineStr">
        <is>
          <t>Region</t>
        </is>
      </c>
      <c r="D3" s="58" t="inlineStr">
        <is>
          <t>Country / Area</t>
        </is>
      </c>
      <c r="E3" s="58" t="inlineStr">
        <is>
          <t>Topic</t>
        </is>
      </c>
      <c r="F3" s="58" t="inlineStr">
        <is>
          <t>Policy Relevance</t>
        </is>
      </c>
      <c r="G3" s="58" t="inlineStr">
        <is>
          <t>Source Type</t>
        </is>
      </c>
      <c r="H3" s="58" t="inlineStr">
        <is>
          <t>Source</t>
        </is>
      </c>
      <c r="I3" s="58" t="inlineStr">
        <is>
          <t>Title</t>
        </is>
      </c>
      <c r="J3" s="58" t="inlineStr">
        <is>
          <t>Summary</t>
        </is>
      </c>
      <c r="K3" s="58" t="inlineStr">
        <is>
          <t>URL</t>
        </is>
      </c>
      <c r="L3" s="58" t="inlineStr">
        <is>
          <t>Canonical ID</t>
        </is>
      </c>
      <c r="M3" s="58" t="inlineStr">
        <is>
          <t>First Seen</t>
        </is>
      </c>
      <c r="N3" s="58" t="inlineStr">
        <is>
          <t>Status</t>
        </is>
      </c>
      <c r="O3" s="59" t="inlineStr">
        <is>
          <t>Notes</t>
        </is>
      </c>
    </row>
    <row r="4" ht="42" customHeight="1">
      <c r="A4" s="75" t="n"/>
      <c r="B4" s="75" t="n"/>
      <c r="C4" s="60" t="n"/>
      <c r="D4" s="60" t="n"/>
      <c r="E4" s="60" t="n"/>
      <c r="F4" s="76" t="n"/>
      <c r="G4" s="60" t="n"/>
      <c r="H4" s="60" t="n"/>
      <c r="I4" s="60" t="n"/>
      <c r="J4" s="60" t="n"/>
      <c r="K4" s="60" t="n"/>
      <c r="L4" s="60" t="n"/>
      <c r="M4" s="75" t="n"/>
      <c r="N4" s="60" t="n"/>
      <c r="O4" s="60" t="n"/>
    </row>
  </sheetData>
  <autoFilter ref="A3:O4"/>
  <mergeCells count="2">
    <mergeCell ref="A1:O1"/>
    <mergeCell ref="A2:O2"/>
  </mergeCells>
  <conditionalFormatting sqref="F4">
    <cfRule type="colorScale" priority="1">
      <colorScale>
        <cfvo type="min"/>
        <cfvo type="percentile" val="50"/>
        <cfvo type="max"/>
        <color rgb="FFEEF2F4"/>
        <color rgb="FFF7ECD4"/>
        <color rgb="FFF6C9C9"/>
      </colorScale>
    </cfRule>
  </conditionalFormatting>
  <dataValidations count="1">
    <dataValidation sqref="N4" showDropDown="0" showInputMessage="0" showErrorMessage="0" allowBlank="0" type="list">
      <formula1>"New,Reviewed,Follow-up,Archived"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0" customWidth="1" min="4" max="4"/>
    <col width="30" customWidth="1" min="5" max="5"/>
    <col width="34" customWidth="1" min="6" max="6"/>
    <col width="58" customWidth="1" min="7" max="7"/>
    <col width="48" customWidth="1" min="8" max="8"/>
    <col width="10" customWidth="1" min="9" max="9"/>
    <col width="13" customWidth="1" min="10" max="10"/>
    <col width="56" customWidth="1" min="11" max="11"/>
  </cols>
  <sheetData>
    <row r="1" ht="34" customHeight="1">
      <c r="A1" s="4" t="inlineStr">
        <is>
          <t>Source Registry</t>
        </is>
      </c>
    </row>
    <row r="2" ht="25" customHeight="1">
      <c r="A2" s="67" t="inlineStr">
        <is>
          <t>Allowlist: government, official companies, major media, policy institutes, and leading journals</t>
        </is>
      </c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9" t="n"/>
    </row>
    <row r="3" ht="31" customHeight="1">
      <c r="A3" s="57" t="inlineStr">
        <is>
          <t>Active</t>
        </is>
      </c>
      <c r="B3" s="58" t="inlineStr">
        <is>
          <t>Region</t>
        </is>
      </c>
      <c r="C3" s="58" t="inlineStr">
        <is>
          <t>Country / Area</t>
        </is>
      </c>
      <c r="D3" s="58" t="inlineStr">
        <is>
          <t>Category</t>
        </is>
      </c>
      <c r="E3" s="58" t="inlineStr">
        <is>
          <t>Source</t>
        </is>
      </c>
      <c r="F3" s="58" t="inlineStr">
        <is>
          <t>Organization</t>
        </is>
      </c>
      <c r="G3" s="58" t="inlineStr">
        <is>
          <t>Feed URL</t>
        </is>
      </c>
      <c r="H3" s="58" t="inlineStr">
        <is>
          <t>Homepage</t>
        </is>
      </c>
      <c r="I3" s="58" t="inlineStr">
        <is>
          <t>Priority</t>
        </is>
      </c>
      <c r="J3" s="58" t="inlineStr">
        <is>
          <t>Native Feed</t>
        </is>
      </c>
      <c r="K3" s="59" t="inlineStr">
        <is>
          <t>Notes</t>
        </is>
      </c>
    </row>
    <row r="4" ht="36" customHeight="1">
      <c r="A4" s="60" t="inlineStr">
        <is>
          <t>Yes</t>
        </is>
      </c>
      <c r="B4" s="60" t="inlineStr">
        <is>
          <t>Global</t>
        </is>
      </c>
      <c r="C4" s="60" t="inlineStr">
        <is>
          <t>Global</t>
        </is>
      </c>
      <c r="D4" s="60" t="inlineStr">
        <is>
          <t>Technology and policy</t>
        </is>
      </c>
      <c r="E4" s="60" t="inlineStr">
        <is>
          <t>Bloomberg Technology</t>
        </is>
      </c>
      <c r="F4" s="60" t="inlineStr">
        <is>
          <t>Bloomberg</t>
        </is>
      </c>
      <c r="G4" s="60" t="inlineStr">
        <is>
          <t>https://www.bloomberg.com/feeds/technology/news.rss</t>
        </is>
      </c>
      <c r="H4" s="60" t="inlineStr">
        <is>
          <t>https://www.bloomberg.com/technology</t>
        </is>
      </c>
      <c r="I4" s="76" t="n">
        <v>5</v>
      </c>
      <c r="J4" s="60" t="inlineStr">
        <is>
          <t>Yes</t>
        </is>
      </c>
      <c r="K4" s="60" t="inlineStr">
        <is>
          <t>Established global business and policy news.</t>
        </is>
      </c>
    </row>
    <row r="5" ht="36" customHeight="1">
      <c r="A5" s="60" t="inlineStr">
        <is>
          <t>Yes</t>
        </is>
      </c>
      <c r="B5" s="60" t="inlineStr">
        <is>
          <t>Global</t>
        </is>
      </c>
      <c r="C5" s="60" t="inlineStr">
        <is>
          <t>United Kingdom</t>
        </is>
      </c>
      <c r="D5" s="60" t="inlineStr">
        <is>
          <t>Science and environment</t>
        </is>
      </c>
      <c r="E5" s="60" t="inlineStr">
        <is>
          <t>BBC Science &amp; Environment</t>
        </is>
      </c>
      <c r="F5" s="60" t="inlineStr">
        <is>
          <t>BBC</t>
        </is>
      </c>
      <c r="G5" s="60" t="inlineStr">
        <is>
          <t>https://feeds.bbci.co.uk/news/science_and_environment/rss.xml</t>
        </is>
      </c>
      <c r="H5" s="60" t="inlineStr">
        <is>
          <t>https://www.bbc.com/news/science_and_environment</t>
        </is>
      </c>
      <c r="I5" s="76" t="n">
        <v>4</v>
      </c>
      <c r="J5" s="60" t="inlineStr">
        <is>
          <t>Yes</t>
        </is>
      </c>
      <c r="K5" s="60" t="inlineStr">
        <is>
          <t>Broad science coverage; topic filter is applied.</t>
        </is>
      </c>
    </row>
    <row r="6" ht="36" customHeight="1">
      <c r="A6" s="60" t="inlineStr">
        <is>
          <t>Yes</t>
        </is>
      </c>
      <c r="B6" s="60" t="inlineStr">
        <is>
          <t>Global</t>
        </is>
      </c>
      <c r="C6" s="60" t="inlineStr">
        <is>
          <t>United Kingdom</t>
        </is>
      </c>
      <c r="D6" s="60" t="inlineStr">
        <is>
          <t>Technology and innovation</t>
        </is>
      </c>
      <c r="E6" s="60" t="inlineStr">
        <is>
          <t>BBC Technology</t>
        </is>
      </c>
      <c r="F6" s="60" t="inlineStr">
        <is>
          <t>BBC</t>
        </is>
      </c>
      <c r="G6" s="60" t="inlineStr">
        <is>
          <t>https://feeds.bbci.co.uk/news/technology/rss.xml</t>
        </is>
      </c>
      <c r="H6" s="60" t="inlineStr">
        <is>
          <t>https://www.bbc.com/news/technology</t>
        </is>
      </c>
      <c r="I6" s="76" t="n">
        <v>4</v>
      </c>
      <c r="J6" s="60" t="inlineStr">
        <is>
          <t>Yes</t>
        </is>
      </c>
      <c r="K6" s="60" t="inlineStr">
        <is>
          <t>Official BBC technology feed; strict innovation-scope review is applied.</t>
        </is>
      </c>
    </row>
    <row r="7" ht="36" customHeight="1">
      <c r="A7" s="60" t="inlineStr">
        <is>
          <t>Yes</t>
        </is>
      </c>
      <c r="B7" s="60" t="inlineStr">
        <is>
          <t>United States</t>
        </is>
      </c>
      <c r="C7" s="60" t="inlineStr">
        <is>
          <t>United States</t>
        </is>
      </c>
      <c r="D7" s="60" t="inlineStr">
        <is>
          <t>Technology and innovation</t>
        </is>
      </c>
      <c r="E7" s="60" t="inlineStr">
        <is>
          <t>The New York Times Technology</t>
        </is>
      </c>
      <c r="F7" s="60" t="inlineStr">
        <is>
          <t>The New York Times</t>
        </is>
      </c>
      <c r="G7" s="60" t="inlineStr">
        <is>
          <t>https://rss.nytimes.com/services/xml/rss/nyt/Technology.xml</t>
        </is>
      </c>
      <c r="H7" s="60" t="inlineStr">
        <is>
          <t>https://www.nytimes.com/section/technology</t>
        </is>
      </c>
      <c r="I7" s="76" t="n">
        <v>4</v>
      </c>
      <c r="J7" s="60" t="inlineStr">
        <is>
          <t>Yes</t>
        </is>
      </c>
      <c r="K7" s="60" t="inlineStr">
        <is>
          <t>Official New York Times technology feed; strict innovation-scope review is applied.</t>
        </is>
      </c>
    </row>
    <row r="8" ht="36" customHeight="1">
      <c r="A8" s="60" t="inlineStr">
        <is>
          <t>Yes</t>
        </is>
      </c>
      <c r="B8" s="60" t="inlineStr">
        <is>
          <t>United States</t>
        </is>
      </c>
      <c r="C8" s="60" t="inlineStr">
        <is>
          <t>United States</t>
        </is>
      </c>
      <c r="D8" s="60" t="inlineStr">
        <is>
          <t>Science and research</t>
        </is>
      </c>
      <c r="E8" s="60" t="inlineStr">
        <is>
          <t>The New York Times Science</t>
        </is>
      </c>
      <c r="F8" s="60" t="inlineStr">
        <is>
          <t>The New York Times</t>
        </is>
      </c>
      <c r="G8" s="60" t="inlineStr">
        <is>
          <t>https://rss.nytimes.com/services/xml/rss/nyt/Science.xml</t>
        </is>
      </c>
      <c r="H8" s="60" t="inlineStr">
        <is>
          <t>https://www.nytimes.com/section/science</t>
        </is>
      </c>
      <c r="I8" s="76" t="n">
        <v>4</v>
      </c>
      <c r="J8" s="60" t="inlineStr">
        <is>
          <t>Yes</t>
        </is>
      </c>
      <c r="K8" s="60" t="inlineStr">
        <is>
          <t>Official New York Times science feed; strict innovation-scope review is applied.</t>
        </is>
      </c>
    </row>
    <row r="9" ht="36" customHeight="1">
      <c r="A9" s="60" t="inlineStr">
        <is>
          <t>Yes</t>
        </is>
      </c>
      <c r="B9" s="60" t="inlineStr">
        <is>
          <t>Asia</t>
        </is>
      </c>
      <c r="C9" s="60" t="inlineStr">
        <is>
          <t>Japan</t>
        </is>
      </c>
      <c r="D9" s="60" t="inlineStr">
        <is>
          <t>Science, technology and innovation policy</t>
        </is>
      </c>
      <c r="E9" s="60" t="inlineStr">
        <is>
          <t>NISTEP Updates</t>
        </is>
      </c>
      <c r="F9" s="60" t="inlineStr">
        <is>
          <t>National Institute of Science and Technology Policy</t>
        </is>
      </c>
      <c r="G9" s="60" t="inlineStr">
        <is>
          <t>https://www.nistep.go.jp/feed</t>
        </is>
      </c>
      <c r="H9" s="60" t="inlineStr">
        <is>
          <t>https://www.nistep.go.jp/</t>
        </is>
      </c>
      <c r="I9" s="76" t="n">
        <v>5</v>
      </c>
      <c r="J9" s="60" t="inlineStr">
        <is>
          <t>Yes</t>
        </is>
      </c>
      <c r="K9" s="60" t="inlineStr">
        <is>
          <t>Official Japanese science and technology policy institute feed.</t>
        </is>
      </c>
    </row>
    <row r="10" ht="36" customHeight="1">
      <c r="A10" s="60" t="inlineStr">
        <is>
          <t>Yes</t>
        </is>
      </c>
      <c r="B10" s="60" t="inlineStr">
        <is>
          <t>Global</t>
        </is>
      </c>
      <c r="C10" s="60" t="inlineStr">
        <is>
          <t>United Kingdom</t>
        </is>
      </c>
      <c r="D10" s="60" t="inlineStr">
        <is>
          <t>Technology</t>
        </is>
      </c>
      <c r="E10" s="60" t="inlineStr">
        <is>
          <t>The Guardian Technology</t>
        </is>
      </c>
      <c r="F10" s="60" t="inlineStr">
        <is>
          <t>Guardian News &amp; Media</t>
        </is>
      </c>
      <c r="G10" s="60" t="inlineStr">
        <is>
          <t>https://www.theguardian.com/technology/rss</t>
        </is>
      </c>
      <c r="H10" s="60" t="inlineStr">
        <is>
          <t>https://www.theguardian.com/technology</t>
        </is>
      </c>
      <c r="I10" s="76" t="n">
        <v>3</v>
      </c>
      <c r="J10" s="60" t="inlineStr">
        <is>
          <t>Yes</t>
        </is>
      </c>
      <c r="K10" s="60" t="inlineStr">
        <is>
          <t>Major media; strict topic filter is applied.</t>
        </is>
      </c>
    </row>
    <row r="11" ht="36" customHeight="1">
      <c r="A11" s="60" t="inlineStr">
        <is>
          <t>Yes</t>
        </is>
      </c>
      <c r="B11" s="60" t="inlineStr">
        <is>
          <t>Global</t>
        </is>
      </c>
      <c r="C11" s="60" t="inlineStr">
        <is>
          <t>United States</t>
        </is>
      </c>
      <c r="D11" s="60" t="inlineStr">
        <is>
          <t>Emerging technology</t>
        </is>
      </c>
      <c r="E11" s="60" t="inlineStr">
        <is>
          <t>MIT Technology Review</t>
        </is>
      </c>
      <c r="F11" s="60" t="inlineStr">
        <is>
          <t>MIT Technology Review</t>
        </is>
      </c>
      <c r="G11" s="60" t="inlineStr">
        <is>
          <t>https://www.technologyreview.com/feed/</t>
        </is>
      </c>
      <c r="H11" s="60" t="inlineStr">
        <is>
          <t>https://www.technologyreview.com/</t>
        </is>
      </c>
      <c r="I11" s="76" t="n">
        <v>4</v>
      </c>
      <c r="J11" s="60" t="inlineStr">
        <is>
          <t>Yes</t>
        </is>
      </c>
      <c r="K11" s="60" t="inlineStr">
        <is>
          <t>Established specialist publication.</t>
        </is>
      </c>
    </row>
    <row r="12" ht="36" customHeight="1">
      <c r="A12" s="60" t="inlineStr">
        <is>
          <t>Yes</t>
        </is>
      </c>
      <c r="B12" s="60" t="inlineStr">
        <is>
          <t>Global</t>
        </is>
      </c>
      <c r="C12" s="60" t="inlineStr">
        <is>
          <t>United States</t>
        </is>
      </c>
      <c r="D12" s="60" t="inlineStr">
        <is>
          <t>Engineering and technology</t>
        </is>
      </c>
      <c r="E12" s="60" t="inlineStr">
        <is>
          <t>IEEE Spectrum</t>
        </is>
      </c>
      <c r="F12" s="60" t="inlineStr">
        <is>
          <t>IEEE</t>
        </is>
      </c>
      <c r="G12" s="60" t="inlineStr">
        <is>
          <t>https://spectrum.ieee.org/feeds/feed.rss</t>
        </is>
      </c>
      <c r="H12" s="60" t="inlineStr">
        <is>
          <t>https://spectrum.ieee.org/</t>
        </is>
      </c>
      <c r="I12" s="76" t="n">
        <v>4</v>
      </c>
      <c r="J12" s="60" t="inlineStr">
        <is>
          <t>Yes</t>
        </is>
      </c>
      <c r="K12" s="60" t="inlineStr">
        <is>
          <t>IEEE editorial publication.</t>
        </is>
      </c>
    </row>
    <row r="13" ht="36" customHeight="1">
      <c r="A13" s="60" t="inlineStr">
        <is>
          <t>Yes</t>
        </is>
      </c>
      <c r="B13" s="60" t="inlineStr">
        <is>
          <t>Global</t>
        </is>
      </c>
      <c r="C13" s="60" t="inlineStr">
        <is>
          <t>Global</t>
        </is>
      </c>
      <c r="D13" s="60" t="inlineStr">
        <is>
          <t>Science</t>
        </is>
      </c>
      <c r="E13" s="60" t="inlineStr">
        <is>
          <t>Nature</t>
        </is>
      </c>
      <c r="F13" s="60" t="inlineStr">
        <is>
          <t>Springer Nature</t>
        </is>
      </c>
      <c r="G13" s="60" t="inlineStr">
        <is>
          <t>https://www.nature.com/nature.rss</t>
        </is>
      </c>
      <c r="H13" s="60" t="inlineStr">
        <is>
          <t>https://www.nature.com/</t>
        </is>
      </c>
      <c r="I13" s="76" t="n">
        <v>4</v>
      </c>
      <c r="J13" s="60" t="inlineStr">
        <is>
          <t>Yes</t>
        </is>
      </c>
      <c r="K13" s="60" t="inlineStr">
        <is>
          <t>Leading scientific publication; innovation-topic filter is applied.</t>
        </is>
      </c>
    </row>
    <row r="14" ht="36" customHeight="1">
      <c r="A14" s="60" t="inlineStr">
        <is>
          <t>Yes</t>
        </is>
      </c>
      <c r="B14" s="60" t="inlineStr">
        <is>
          <t>Global</t>
        </is>
      </c>
      <c r="C14" s="60" t="inlineStr">
        <is>
          <t>United States</t>
        </is>
      </c>
      <c r="D14" s="60" t="inlineStr">
        <is>
          <t>Science</t>
        </is>
      </c>
      <c r="E14" s="60" t="inlineStr">
        <is>
          <t>Science</t>
        </is>
      </c>
      <c r="F14" s="60" t="inlineStr">
        <is>
          <t>AAAS</t>
        </is>
      </c>
      <c r="G14" s="60" t="inlineStr">
        <is>
          <t>https://www.science.org/news/latest-news</t>
        </is>
      </c>
      <c r="H14" s="60" t="inlineStr">
        <is>
          <t>https://www.science.org/news/latest-news</t>
        </is>
      </c>
      <c r="I14" s="76" t="n">
        <v>4</v>
      </c>
      <c r="J14" s="60" t="inlineStr">
        <is>
          <t>No</t>
        </is>
      </c>
      <c r="K14" s="60" t="inlineStr">
        <is>
          <t>Leading scientific publication; scans the official latest-news page because the former RSS endpoint rejects automated access.</t>
        </is>
      </c>
    </row>
    <row r="15" ht="36" customHeight="1">
      <c r="A15" s="60" t="inlineStr">
        <is>
          <t>Yes</t>
        </is>
      </c>
      <c r="B15" s="60" t="inlineStr">
        <is>
          <t>Asia</t>
        </is>
      </c>
      <c r="C15" s="60" t="inlineStr">
        <is>
          <t>Hong Kong</t>
        </is>
      </c>
      <c r="D15" s="60" t="inlineStr">
        <is>
          <t>Technology</t>
        </is>
      </c>
      <c r="E15" s="60" t="inlineStr">
        <is>
          <t>South China Morning Post Technology</t>
        </is>
      </c>
      <c r="F15" s="60" t="inlineStr">
        <is>
          <t>South China Morning Post</t>
        </is>
      </c>
      <c r="G15" s="60" t="inlineStr">
        <is>
          <t>https://www.scmp.com/rss/36/feed</t>
        </is>
      </c>
      <c r="H15" s="60" t="inlineStr">
        <is>
          <t>https://www.scmp.com/tech</t>
        </is>
      </c>
      <c r="I15" s="76" t="n">
        <v>4</v>
      </c>
      <c r="J15" s="60" t="inlineStr">
        <is>
          <t>Yes</t>
        </is>
      </c>
      <c r="K15" s="60" t="inlineStr">
        <is>
          <t>Major Asia-focused technology media; only /tech/ article URLs are accepted.</t>
        </is>
      </c>
    </row>
    <row r="16" ht="36" customHeight="1">
      <c r="A16" s="60" t="inlineStr">
        <is>
          <t>Yes</t>
        </is>
      </c>
      <c r="B16" s="60" t="inlineStr">
        <is>
          <t>Middle East</t>
        </is>
      </c>
      <c r="C16" s="60" t="inlineStr">
        <is>
          <t>Saudi Arabia</t>
        </is>
      </c>
      <c r="D16" s="60" t="inlineStr">
        <is>
          <t>Technology</t>
        </is>
      </c>
      <c r="E16" s="60" t="inlineStr">
        <is>
          <t>Arab News Technology</t>
        </is>
      </c>
      <c r="F16" s="60" t="inlineStr">
        <is>
          <t>Arab News</t>
        </is>
      </c>
      <c r="G16" s="60" t="inlineStr">
        <is>
          <t>https://www.arabnews.com/tags/technology</t>
        </is>
      </c>
      <c r="H16" s="60" t="inlineStr">
        <is>
          <t>https://www.arabnews.com/tags/technology</t>
        </is>
      </c>
      <c r="I16" s="76" t="n">
        <v>3</v>
      </c>
      <c r="J16" s="60" t="inlineStr">
        <is>
          <t>No</t>
        </is>
      </c>
      <c r="K16" s="60" t="inlineStr">
        <is>
          <t>Established regional media; scans the official technology page because the former feed is access-blocked.</t>
        </is>
      </c>
    </row>
    <row r="17" ht="36" customHeight="1">
      <c r="A17" s="60" t="inlineStr">
        <is>
          <t>Yes</t>
        </is>
      </c>
      <c r="B17" s="60" t="inlineStr">
        <is>
          <t>Middle East</t>
        </is>
      </c>
      <c r="C17" s="60" t="inlineStr">
        <is>
          <t>United Arab Emirates</t>
        </is>
      </c>
      <c r="D17" s="60" t="inlineStr">
        <is>
          <t>Technology and innovation</t>
        </is>
      </c>
      <c r="E17" s="60" t="inlineStr">
        <is>
          <t>The National Technology</t>
        </is>
      </c>
      <c r="F17" s="60" t="inlineStr">
        <is>
          <t>The National</t>
        </is>
      </c>
      <c r="G17" s="60" t="inlineStr">
        <is>
          <t>https://www.thenationalnews.com/arc/outboundfeeds/rss/category/future/technology/?outputType=xml</t>
        </is>
      </c>
      <c r="H17" s="60" t="inlineStr">
        <is>
          <t>https://www.thenationalnews.com/future/technology/</t>
        </is>
      </c>
      <c r="I17" s="76" t="n">
        <v>4</v>
      </c>
      <c r="J17" s="60" t="inlineStr">
        <is>
          <t>Yes</t>
        </is>
      </c>
      <c r="K17" s="60" t="inlineStr">
        <is>
          <t>Established UAE-based regional newspaper; official technology feed.</t>
        </is>
      </c>
    </row>
    <row r="18" ht="36" customHeight="1">
      <c r="A18" s="60" t="inlineStr">
        <is>
          <t>Yes</t>
        </is>
      </c>
      <c r="B18" s="60" t="inlineStr">
        <is>
          <t>United States</t>
        </is>
      </c>
      <c r="C18" s="60" t="inlineStr">
        <is>
          <t>United States</t>
        </is>
      </c>
      <c r="D18" s="60" t="inlineStr">
        <is>
          <t>Technology policy</t>
        </is>
      </c>
      <c r="E18" s="60" t="inlineStr">
        <is>
          <t>Brookings TechTank</t>
        </is>
      </c>
      <c r="F18" s="60" t="inlineStr">
        <is>
          <t>Brookings Institution</t>
        </is>
      </c>
      <c r="G18" s="60" t="inlineStr">
        <is>
          <t>https://www.brookings.edu/tags/techtank/</t>
        </is>
      </c>
      <c r="H18" s="60" t="inlineStr">
        <is>
          <t>https://www.brookings.edu/tags/techtank/</t>
        </is>
      </c>
      <c r="I18" s="76" t="n">
        <v>5</v>
      </c>
      <c r="J18" s="60" t="inlineStr">
        <is>
          <t>No</t>
        </is>
      </c>
      <c r="K18" s="60" t="inlineStr">
        <is>
          <t>Technology-policy analysis from Brookings; official listing-page fallback.</t>
        </is>
      </c>
    </row>
    <row r="19" ht="36" customHeight="1">
      <c r="A19" s="60" t="inlineStr">
        <is>
          <t>Yes</t>
        </is>
      </c>
      <c r="B19" s="60" t="inlineStr">
        <is>
          <t>United States</t>
        </is>
      </c>
      <c r="C19" s="60" t="inlineStr">
        <is>
          <t>United States</t>
        </is>
      </c>
      <c r="D19" s="60" t="inlineStr">
        <is>
          <t>Technology and industrial policy</t>
        </is>
      </c>
      <c r="E19" s="60" t="inlineStr">
        <is>
          <t>CSIS Analysis</t>
        </is>
      </c>
      <c r="F19" s="60" t="inlineStr">
        <is>
          <t>Center for Strategic and International Studies</t>
        </is>
      </c>
      <c r="G19" s="60" t="inlineStr">
        <is>
          <t>https://www.csis.org/rss.xml</t>
        </is>
      </c>
      <c r="H19" s="60" t="inlineStr">
        <is>
          <t>https://www.csis.org/analysis</t>
        </is>
      </c>
      <c r="I19" s="76" t="n">
        <v>4</v>
      </c>
      <c r="J19" s="60" t="inlineStr">
        <is>
          <t>Yes</t>
        </is>
      </c>
      <c r="K19" s="60" t="inlineStr">
        <is>
          <t>Broad analysis feed; innovation-topic filter is applied.</t>
        </is>
      </c>
    </row>
    <row r="20" ht="36" customHeight="1">
      <c r="A20" s="60" t="inlineStr">
        <is>
          <t>Yes</t>
        </is>
      </c>
      <c r="B20" s="60" t="inlineStr">
        <is>
          <t>United States</t>
        </is>
      </c>
      <c r="C20" s="60" t="inlineStr">
        <is>
          <t>United States</t>
        </is>
      </c>
      <c r="D20" s="60" t="inlineStr">
        <is>
          <t>Emerging technology policy</t>
        </is>
      </c>
      <c r="E20" s="60" t="inlineStr">
        <is>
          <t>CSET</t>
        </is>
      </c>
      <c r="F20" s="60" t="inlineStr">
        <is>
          <t>Center for Security and Emerging Technology</t>
        </is>
      </c>
      <c r="G20" s="60" t="inlineStr">
        <is>
          <t>https://cset.georgetown.edu/feed/</t>
        </is>
      </c>
      <c r="H20" s="60" t="inlineStr">
        <is>
          <t>https://cset.georgetown.edu/</t>
        </is>
      </c>
      <c r="I20" s="76" t="n">
        <v>5</v>
      </c>
      <c r="J20" s="60" t="inlineStr">
        <is>
          <t>Yes</t>
        </is>
      </c>
      <c r="K20" s="60" t="inlineStr">
        <is>
          <t>University-based emerging-technology policy center.</t>
        </is>
      </c>
    </row>
    <row r="21" ht="36" customHeight="1">
      <c r="A21" s="60" t="inlineStr">
        <is>
          <t>Yes</t>
        </is>
      </c>
      <c r="B21" s="60" t="inlineStr">
        <is>
          <t>EU &amp; Europe</t>
        </is>
      </c>
      <c r="C21" s="60" t="inlineStr">
        <is>
          <t>Belgium</t>
        </is>
      </c>
      <c r="D21" s="60" t="inlineStr">
        <is>
          <t>Economic and innovation policy</t>
        </is>
      </c>
      <c r="E21" s="60" t="inlineStr">
        <is>
          <t>Bruegel</t>
        </is>
      </c>
      <c r="F21" s="60" t="inlineStr">
        <is>
          <t>Bruegel</t>
        </is>
      </c>
      <c r="G21" s="60" t="inlineStr">
        <is>
          <t>https://www.bruegel.org/analysis</t>
        </is>
      </c>
      <c r="H21" s="60" t="inlineStr">
        <is>
          <t>https://www.bruegel.org/analysis</t>
        </is>
      </c>
      <c r="I21" s="76" t="n">
        <v>4</v>
      </c>
      <c r="J21" s="60" t="inlineStr">
        <is>
          <t>No</t>
        </is>
      </c>
      <c r="K21" s="60" t="inlineStr">
        <is>
          <t>European economic-policy institute; scans the official analysis page.</t>
        </is>
      </c>
    </row>
    <row r="22" ht="36" customHeight="1">
      <c r="A22" s="60" t="inlineStr">
        <is>
          <t>Yes</t>
        </is>
      </c>
      <c r="B22" s="60" t="inlineStr">
        <is>
          <t>Asia</t>
        </is>
      </c>
      <c r="C22" s="60" t="inlineStr">
        <is>
          <t>China / Germany</t>
        </is>
      </c>
      <c r="D22" s="60" t="inlineStr">
        <is>
          <t>China technology and industrial policy</t>
        </is>
      </c>
      <c r="E22" s="60" t="inlineStr">
        <is>
          <t>MERICS</t>
        </is>
      </c>
      <c r="F22" s="60" t="inlineStr">
        <is>
          <t>Mercator Institute for China Studies</t>
        </is>
      </c>
      <c r="G22" s="60" t="inlineStr">
        <is>
          <t>https://merics.org/en/research</t>
        </is>
      </c>
      <c r="H22" s="60" t="inlineStr">
        <is>
          <t>https://merics.org/en/research</t>
        </is>
      </c>
      <c r="I22" s="76" t="n">
        <v>4</v>
      </c>
      <c r="J22" s="60" t="inlineStr">
        <is>
          <t>No</t>
        </is>
      </c>
      <c r="K22" s="60" t="inlineStr">
        <is>
          <t>China-focused policy institute; scans the official research page.</t>
        </is>
      </c>
    </row>
    <row r="23" ht="36" customHeight="1">
      <c r="A23" s="60" t="inlineStr">
        <is>
          <t>Yes</t>
        </is>
      </c>
      <c r="B23" s="60" t="inlineStr">
        <is>
          <t>United States</t>
        </is>
      </c>
      <c r="C23" s="60" t="inlineStr">
        <is>
          <t>United States</t>
        </is>
      </c>
      <c r="D23" s="60" t="inlineStr">
        <is>
          <t>Research policy and science</t>
        </is>
      </c>
      <c r="E23" s="60" t="inlineStr">
        <is>
          <t>National Science Foundation News</t>
        </is>
      </c>
      <c r="F23" s="60" t="inlineStr">
        <is>
          <t>U.S. National Science Foundation</t>
        </is>
      </c>
      <c r="G23" s="60" t="inlineStr">
        <is>
          <t>https://www.nsf.gov/rss/rss_www_news.xml</t>
        </is>
      </c>
      <c r="H23" s="60" t="inlineStr">
        <is>
          <t>https://www.nsf.gov/news</t>
        </is>
      </c>
      <c r="I23" s="76" t="n">
        <v>5</v>
      </c>
      <c r="J23" s="60" t="inlineStr">
        <is>
          <t>Yes</t>
        </is>
      </c>
      <c r="K23" s="60" t="inlineStr">
        <is>
          <t>Official U.S. government source.</t>
        </is>
      </c>
    </row>
    <row r="24" ht="36" customHeight="1">
      <c r="A24" s="60" t="inlineStr">
        <is>
          <t>Yes</t>
        </is>
      </c>
      <c r="B24" s="60" t="inlineStr">
        <is>
          <t>United States</t>
        </is>
      </c>
      <c r="C24" s="60" t="inlineStr">
        <is>
          <t>United States</t>
        </is>
      </c>
      <c r="D24" s="60" t="inlineStr">
        <is>
          <t>Standards, science and industrial policy</t>
        </is>
      </c>
      <c r="E24" s="60" t="inlineStr">
        <is>
          <t>NIST News</t>
        </is>
      </c>
      <c r="F24" s="60" t="inlineStr">
        <is>
          <t>National Institute of Standards and Technology</t>
        </is>
      </c>
      <c r="G24" s="60" t="inlineStr">
        <is>
          <t>https://www.nist.gov/news-events/news/rss.xml</t>
        </is>
      </c>
      <c r="H24" s="60" t="inlineStr">
        <is>
          <t>https://www.nist.gov/news-events/news</t>
        </is>
      </c>
      <c r="I24" s="76" t="n">
        <v>5</v>
      </c>
      <c r="J24" s="60" t="inlineStr">
        <is>
          <t>Yes</t>
        </is>
      </c>
      <c r="K24" s="60" t="inlineStr">
        <is>
          <t>Official U.S. government source.</t>
        </is>
      </c>
    </row>
    <row r="25" ht="36" customHeight="1">
      <c r="A25" s="60" t="inlineStr">
        <is>
          <t>Yes</t>
        </is>
      </c>
      <c r="B25" s="60" t="inlineStr">
        <is>
          <t>United States</t>
        </is>
      </c>
      <c r="C25" s="60" t="inlineStr">
        <is>
          <t>United States</t>
        </is>
      </c>
      <c r="D25" s="60" t="inlineStr">
        <is>
          <t>Biotechnology and healthcare</t>
        </is>
      </c>
      <c r="E25" s="60" t="inlineStr">
        <is>
          <t>NIH News Releases</t>
        </is>
      </c>
      <c r="F25" s="60" t="inlineStr">
        <is>
          <t>U.S. National Institutes of Health</t>
        </is>
      </c>
      <c r="G25" s="60" t="inlineStr">
        <is>
          <t>https://www.nih.gov/news-events/news-releases</t>
        </is>
      </c>
      <c r="H25" s="60" t="inlineStr">
        <is>
          <t>https://www.nih.gov/news-events/news-releases</t>
        </is>
      </c>
      <c r="I25" s="76" t="n">
        <v>5</v>
      </c>
      <c r="J25" s="60" t="inlineStr">
        <is>
          <t>No</t>
        </is>
      </c>
      <c r="K25" s="60" t="inlineStr">
        <is>
          <t>Official U.S. biomedical-research source; scans the official release listing.</t>
        </is>
      </c>
    </row>
    <row r="26" ht="36" customHeight="1">
      <c r="A26" s="60" t="inlineStr">
        <is>
          <t>Yes</t>
        </is>
      </c>
      <c r="B26" s="60" t="inlineStr">
        <is>
          <t>United States</t>
        </is>
      </c>
      <c r="C26" s="60" t="inlineStr">
        <is>
          <t>United States</t>
        </is>
      </c>
      <c r="D26" s="60" t="inlineStr">
        <is>
          <t>Energy, quantum and research policy</t>
        </is>
      </c>
      <c r="E26" s="60" t="inlineStr">
        <is>
          <t>DOE Office of Science News</t>
        </is>
      </c>
      <c r="F26" s="60" t="inlineStr">
        <is>
          <t>U.S. Department of Energy</t>
        </is>
      </c>
      <c r="G26" s="60" t="inlineStr">
        <is>
          <t>https://www.energy.gov/rss/science/3662436</t>
        </is>
      </c>
      <c r="H26" s="60" t="inlineStr">
        <is>
          <t>https://www.energy.gov/science/listings/office-science-news</t>
        </is>
      </c>
      <c r="I26" s="76" t="n">
        <v>5</v>
      </c>
      <c r="J26" s="60" t="inlineStr">
        <is>
          <t>Yes</t>
        </is>
      </c>
      <c r="K26" s="60" t="inlineStr">
        <is>
          <t>Official U.S. government source; includes fusion and quantum policy.</t>
        </is>
      </c>
    </row>
    <row r="27" ht="36" customHeight="1">
      <c r="A27" s="60" t="inlineStr">
        <is>
          <t>Yes</t>
        </is>
      </c>
      <c r="B27" s="60" t="inlineStr">
        <is>
          <t>EU &amp; Europe</t>
        </is>
      </c>
      <c r="C27" s="60" t="inlineStr">
        <is>
          <t>European Union</t>
        </is>
      </c>
      <c r="D27" s="60" t="inlineStr">
        <is>
          <t>EU research and innovation policy</t>
        </is>
      </c>
      <c r="E27" s="60" t="inlineStr">
        <is>
          <t>European Commission Research &amp; Innovation</t>
        </is>
      </c>
      <c r="F27" s="60" t="inlineStr">
        <is>
          <t>European Commission Directorate-General for Research and Innovation</t>
        </is>
      </c>
      <c r="G27" s="60" t="inlineStr">
        <is>
          <t>https://research-and-innovation.ec.europa.eu/news/all-research-and-innovation-news_en</t>
        </is>
      </c>
      <c r="H27" s="60" t="inlineStr">
        <is>
          <t>https://research-and-innovation.ec.europa.eu/news/all-research-and-innovation-news_en</t>
        </is>
      </c>
      <c r="I27" s="76" t="n">
        <v>5</v>
      </c>
      <c r="J27" s="60" t="inlineStr">
        <is>
          <t>No</t>
        </is>
      </c>
      <c r="K27" s="60" t="inlineStr">
        <is>
          <t>Official European Commission research-and-innovation news listing.</t>
        </is>
      </c>
    </row>
    <row r="28" ht="36" customHeight="1">
      <c r="A28" s="60" t="inlineStr">
        <is>
          <t>Yes</t>
        </is>
      </c>
      <c r="B28" s="60" t="inlineStr">
        <is>
          <t>EU &amp; Europe</t>
        </is>
      </c>
      <c r="C28" s="60" t="inlineStr">
        <is>
          <t>United Kingdom</t>
        </is>
      </c>
      <c r="D28" s="60" t="inlineStr">
        <is>
          <t>Science and innovation policy</t>
        </is>
      </c>
      <c r="E28" s="60" t="inlineStr">
        <is>
          <t>UK DSIT</t>
        </is>
      </c>
      <c r="F28" s="60" t="inlineStr">
        <is>
          <t>Department for Science, Innovation and Technology</t>
        </is>
      </c>
      <c r="G28" s="60" t="inlineStr">
        <is>
          <t>https://www.gov.uk/government/organisations/department-for-science-innovation-and-technology.atom</t>
        </is>
      </c>
      <c r="H28" s="60" t="inlineStr">
        <is>
          <t>https://www.gov.uk/government/organisations/department-for-science-innovation-and-technology</t>
        </is>
      </c>
      <c r="I28" s="76" t="n">
        <v>5</v>
      </c>
      <c r="J28" s="60" t="inlineStr">
        <is>
          <t>Yes</t>
        </is>
      </c>
      <c r="K28" s="60" t="inlineStr">
        <is>
          <t>Official UK government Atom feed.</t>
        </is>
      </c>
    </row>
    <row r="29" ht="36" customHeight="1">
      <c r="A29" s="60" t="inlineStr">
        <is>
          <t>Yes</t>
        </is>
      </c>
      <c r="B29" s="60" t="inlineStr">
        <is>
          <t>Asia</t>
        </is>
      </c>
      <c r="C29" s="60" t="inlineStr">
        <is>
          <t>Japan</t>
        </is>
      </c>
      <c r="D29" s="60" t="inlineStr">
        <is>
          <t>Industrial and innovation policy</t>
        </is>
      </c>
      <c r="E29" s="60" t="inlineStr">
        <is>
          <t>METI Press Releases</t>
        </is>
      </c>
      <c r="F29" s="60" t="inlineStr">
        <is>
          <t>Ministry of Economy, Trade and Industry</t>
        </is>
      </c>
      <c r="G29" s="60" t="inlineStr">
        <is>
          <t>https://www.meti.go.jp/english/press/index.html</t>
        </is>
      </c>
      <c r="H29" s="60" t="inlineStr">
        <is>
          <t>https://www.meti.go.jp/english/press/index.html</t>
        </is>
      </c>
      <c r="I29" s="76" t="n">
        <v>5</v>
      </c>
      <c r="J29" s="60" t="inlineStr">
        <is>
          <t>No</t>
        </is>
      </c>
      <c r="K29" s="60" t="inlineStr">
        <is>
          <t>Official Japanese government English-language release listing.</t>
        </is>
      </c>
    </row>
    <row r="30" ht="36" customHeight="1">
      <c r="A30" s="60" t="inlineStr">
        <is>
          <t>Yes</t>
        </is>
      </c>
      <c r="B30" s="60" t="inlineStr">
        <is>
          <t>Global</t>
        </is>
      </c>
      <c r="C30" s="60" t="inlineStr">
        <is>
          <t>Global</t>
        </is>
      </c>
      <c r="D30" s="60" t="inlineStr">
        <is>
          <t>Healthcare policy</t>
        </is>
      </c>
      <c r="E30" s="60" t="inlineStr">
        <is>
          <t>WHO News</t>
        </is>
      </c>
      <c r="F30" s="60" t="inlineStr">
        <is>
          <t>World Health Organization</t>
        </is>
      </c>
      <c r="G30" s="60" t="inlineStr">
        <is>
          <t>https://www.who.int/rss-feeds/news-english.xml</t>
        </is>
      </c>
      <c r="H30" s="60" t="inlineStr">
        <is>
          <t>https://www.who.int/news</t>
        </is>
      </c>
      <c r="I30" s="76" t="n">
        <v>4</v>
      </c>
      <c r="J30" s="60" t="inlineStr">
        <is>
          <t>Yes</t>
        </is>
      </c>
      <c r="K30" s="60" t="inlineStr">
        <is>
          <t>Official international public-health source.</t>
        </is>
      </c>
    </row>
    <row r="31" ht="36" customHeight="1">
      <c r="A31" s="60" t="inlineStr">
        <is>
          <t>Yes</t>
        </is>
      </c>
      <c r="B31" s="60" t="inlineStr">
        <is>
          <t>Global</t>
        </is>
      </c>
      <c r="C31" s="60" t="inlineStr">
        <is>
          <t>Global</t>
        </is>
      </c>
      <c r="D31" s="60" t="inlineStr">
        <is>
          <t>Energy technology and policy</t>
        </is>
      </c>
      <c r="E31" s="60" t="inlineStr">
        <is>
          <t>IEA News</t>
        </is>
      </c>
      <c r="F31" s="60" t="inlineStr">
        <is>
          <t>International Energy Agency</t>
        </is>
      </c>
      <c r="G31" s="60" t="inlineStr">
        <is>
          <t>https://www.iea.org/news</t>
        </is>
      </c>
      <c r="H31" s="60" t="inlineStr">
        <is>
          <t>https://www.iea.org/news</t>
        </is>
      </c>
      <c r="I31" s="76" t="n">
        <v>4</v>
      </c>
      <c r="J31" s="60" t="inlineStr">
        <is>
          <t>No</t>
        </is>
      </c>
      <c r="K31" s="60" t="inlineStr">
        <is>
          <t>Official international energy-policy source; scans the official news page.</t>
        </is>
      </c>
    </row>
    <row r="32" ht="36" customHeight="1">
      <c r="A32" s="60" t="inlineStr">
        <is>
          <t>Yes</t>
        </is>
      </c>
      <c r="B32" s="60" t="inlineStr">
        <is>
          <t>Global</t>
        </is>
      </c>
      <c r="C32" s="60" t="inlineStr">
        <is>
          <t>Global</t>
        </is>
      </c>
      <c r="D32" s="60" t="inlineStr">
        <is>
          <t>Economic, science and innovation policy</t>
        </is>
      </c>
      <c r="E32" s="60" t="inlineStr">
        <is>
          <t>OECD Newsroom</t>
        </is>
      </c>
      <c r="F32" s="60" t="inlineStr">
        <is>
          <t>OECD</t>
        </is>
      </c>
      <c r="G32" s="60" t="inlineStr">
        <is>
          <t>https://www.oecd.org/en/about/newsroom.html</t>
        </is>
      </c>
      <c r="H32" s="60" t="inlineStr">
        <is>
          <t>https://www.oecd.org/en/about/newsroom.html</t>
        </is>
      </c>
      <c r="I32" s="76" t="n">
        <v>4</v>
      </c>
      <c r="J32" s="60" t="inlineStr">
        <is>
          <t>No</t>
        </is>
      </c>
      <c r="K32" s="60" t="inlineStr">
        <is>
          <t>Official OECD source; scans the official news page.</t>
        </is>
      </c>
    </row>
    <row r="33" ht="36" customHeight="1">
      <c r="A33" s="60" t="inlineStr">
        <is>
          <t>Yes</t>
        </is>
      </c>
      <c r="B33" s="60" t="inlineStr">
        <is>
          <t>Global</t>
        </is>
      </c>
      <c r="C33" s="60" t="inlineStr">
        <is>
          <t>United States</t>
        </is>
      </c>
      <c r="D33" s="60" t="inlineStr">
        <is>
          <t>Artificial intelligence</t>
        </is>
      </c>
      <c r="E33" s="60" t="inlineStr">
        <is>
          <t>OpenAI News</t>
        </is>
      </c>
      <c r="F33" s="60" t="inlineStr">
        <is>
          <t>OpenAI</t>
        </is>
      </c>
      <c r="G33" s="60" t="inlineStr">
        <is>
          <t>https://openai.com/news/rss.xml</t>
        </is>
      </c>
      <c r="H33" s="60" t="inlineStr">
        <is>
          <t>https://openai.com/news/</t>
        </is>
      </c>
      <c r="I33" s="76" t="n">
        <v>5</v>
      </c>
      <c r="J33" s="60" t="inlineStr">
        <is>
          <t>Yes</t>
        </is>
      </c>
      <c r="K33" s="60" t="inlineStr">
        <is>
          <t>Official company newsroom.</t>
        </is>
      </c>
    </row>
    <row r="34" ht="36" customHeight="1">
      <c r="A34" s="60" t="inlineStr">
        <is>
          <t>Yes</t>
        </is>
      </c>
      <c r="B34" s="60" t="inlineStr">
        <is>
          <t>Global</t>
        </is>
      </c>
      <c r="C34" s="60" t="inlineStr">
        <is>
          <t>United States</t>
        </is>
      </c>
      <c r="D34" s="60" t="inlineStr">
        <is>
          <t>Artificial intelligence</t>
        </is>
      </c>
      <c r="E34" s="60" t="inlineStr">
        <is>
          <t>Google AI</t>
        </is>
      </c>
      <c r="F34" s="60" t="inlineStr">
        <is>
          <t>Google</t>
        </is>
      </c>
      <c r="G34" s="60" t="inlineStr">
        <is>
          <t>https://blog.google/technology/ai/rss/</t>
        </is>
      </c>
      <c r="H34" s="60" t="inlineStr">
        <is>
          <t>https://blog.google/technology/ai/</t>
        </is>
      </c>
      <c r="I34" s="76" t="n">
        <v>4</v>
      </c>
      <c r="J34" s="60" t="inlineStr">
        <is>
          <t>Yes</t>
        </is>
      </c>
      <c r="K34" s="60" t="inlineStr">
        <is>
          <t>Official company publication.</t>
        </is>
      </c>
    </row>
    <row r="35" ht="36" customHeight="1">
      <c r="A35" s="60" t="inlineStr">
        <is>
          <t>Yes</t>
        </is>
      </c>
      <c r="B35" s="60" t="inlineStr">
        <is>
          <t>Global</t>
        </is>
      </c>
      <c r="C35" s="60" t="inlineStr">
        <is>
          <t>United States</t>
        </is>
      </c>
      <c r="D35" s="60" t="inlineStr">
        <is>
          <t>AI and semiconductors</t>
        </is>
      </c>
      <c r="E35" s="60" t="inlineStr">
        <is>
          <t>NVIDIA Blog</t>
        </is>
      </c>
      <c r="F35" s="60" t="inlineStr">
        <is>
          <t>NVIDIA</t>
        </is>
      </c>
      <c r="G35" s="60" t="inlineStr">
        <is>
          <t>https://blogs.nvidia.com/feed/</t>
        </is>
      </c>
      <c r="H35" s="60" t="inlineStr">
        <is>
          <t>https://blogs.nvidia.com/</t>
        </is>
      </c>
      <c r="I35" s="76" t="n">
        <v>4</v>
      </c>
      <c r="J35" s="60" t="inlineStr">
        <is>
          <t>Yes</t>
        </is>
      </c>
      <c r="K35" s="60" t="inlineStr">
        <is>
          <t>Official company publication.</t>
        </is>
      </c>
    </row>
    <row r="36" ht="36" customHeight="1">
      <c r="A36" s="60" t="inlineStr">
        <is>
          <t>Yes</t>
        </is>
      </c>
      <c r="B36" s="60" t="inlineStr">
        <is>
          <t>Global</t>
        </is>
      </c>
      <c r="C36" s="60" t="inlineStr">
        <is>
          <t>United States</t>
        </is>
      </c>
      <c r="D36" s="60" t="inlineStr">
        <is>
          <t>Semiconductors</t>
        </is>
      </c>
      <c r="E36" s="60" t="inlineStr">
        <is>
          <t>Intel Newsroom</t>
        </is>
      </c>
      <c r="F36" s="60" t="inlineStr">
        <is>
          <t>Intel</t>
        </is>
      </c>
      <c r="G36" s="60" t="inlineStr">
        <is>
          <t>https://newsroom.intel.com/feed</t>
        </is>
      </c>
      <c r="H36" s="60" t="inlineStr">
        <is>
          <t>https://newsroom.intel.com/</t>
        </is>
      </c>
      <c r="I36" s="76" t="n">
        <v>4</v>
      </c>
      <c r="J36" s="60" t="inlineStr">
        <is>
          <t>Yes</t>
        </is>
      </c>
      <c r="K36" s="60" t="inlineStr">
        <is>
          <t>Official company newsroom.</t>
        </is>
      </c>
    </row>
    <row r="37" ht="36" customHeight="1">
      <c r="A37" s="60" t="inlineStr">
        <is>
          <t>Yes</t>
        </is>
      </c>
      <c r="B37" s="60" t="inlineStr">
        <is>
          <t>Global</t>
        </is>
      </c>
      <c r="C37" s="60" t="inlineStr">
        <is>
          <t>United States</t>
        </is>
      </c>
      <c r="D37" s="60" t="inlineStr">
        <is>
          <t>AI and quantum</t>
        </is>
      </c>
      <c r="E37" s="60" t="inlineStr">
        <is>
          <t>IBM Research</t>
        </is>
      </c>
      <c r="F37" s="60" t="inlineStr">
        <is>
          <t>IBM</t>
        </is>
      </c>
      <c r="G37" s="60" t="inlineStr">
        <is>
          <t>https://research.ibm.com/blog</t>
        </is>
      </c>
      <c r="H37" s="60" t="inlineStr">
        <is>
          <t>https://research.ibm.com/blog</t>
        </is>
      </c>
      <c r="I37" s="76" t="n">
        <v>4</v>
      </c>
      <c r="J37" s="60" t="inlineStr">
        <is>
          <t>No</t>
        </is>
      </c>
      <c r="K37" s="60" t="inlineStr">
        <is>
          <t>Official corporate research publication; scans the official blog listing.</t>
        </is>
      </c>
    </row>
    <row r="38" ht="36" customHeight="1">
      <c r="A38" s="60" t="inlineStr">
        <is>
          <t>Yes</t>
        </is>
      </c>
      <c r="B38" s="60" t="inlineStr">
        <is>
          <t>Global</t>
        </is>
      </c>
      <c r="C38" s="60" t="inlineStr">
        <is>
          <t>United States</t>
        </is>
      </c>
      <c r="D38" s="60" t="inlineStr">
        <is>
          <t>AI, quantum and computing</t>
        </is>
      </c>
      <c r="E38" s="60" t="inlineStr">
        <is>
          <t>Microsoft Research</t>
        </is>
      </c>
      <c r="F38" s="60" t="inlineStr">
        <is>
          <t>Microsoft</t>
        </is>
      </c>
      <c r="G38" s="60" t="inlineStr">
        <is>
          <t>https://www.microsoft.com/en-us/research/feed/</t>
        </is>
      </c>
      <c r="H38" s="60" t="inlineStr">
        <is>
          <t>https://www.microsoft.com/en-us/research/blog/</t>
        </is>
      </c>
      <c r="I38" s="76" t="n">
        <v>4</v>
      </c>
      <c r="J38" s="60" t="inlineStr">
        <is>
          <t>Yes</t>
        </is>
      </c>
      <c r="K38" s="60" t="inlineStr">
        <is>
          <t>Official corporate research publication.</t>
        </is>
      </c>
    </row>
    <row r="39" ht="36" customHeight="1">
      <c r="A39" s="60" t="inlineStr">
        <is>
          <t>Yes</t>
        </is>
      </c>
      <c r="B39" s="60" t="inlineStr">
        <is>
          <t>Asia</t>
        </is>
      </c>
      <c r="C39" s="60" t="inlineStr">
        <is>
          <t>South Korea</t>
        </is>
      </c>
      <c r="D39" s="60" t="inlineStr">
        <is>
          <t>Semiconductors, AI and telecom</t>
        </is>
      </c>
      <c r="E39" s="60" t="inlineStr">
        <is>
          <t>Samsung Global Newsroom</t>
        </is>
      </c>
      <c r="F39" s="60" t="inlineStr">
        <is>
          <t>Samsung Electronics</t>
        </is>
      </c>
      <c r="G39" s="60" t="inlineStr">
        <is>
          <t>https://news.samsung.com/global/feed</t>
        </is>
      </c>
      <c r="H39" s="60" t="inlineStr">
        <is>
          <t>https://news.samsung.com/global/</t>
        </is>
      </c>
      <c r="I39" s="76" t="n">
        <v>4</v>
      </c>
      <c r="J39" s="60" t="inlineStr">
        <is>
          <t>Yes</t>
        </is>
      </c>
      <c r="K39" s="60" t="inlineStr">
        <is>
          <t>Official company newsroom.</t>
        </is>
      </c>
    </row>
    <row r="40" ht="36" customHeight="1">
      <c r="A40" s="60" t="inlineStr">
        <is>
          <t>Yes</t>
        </is>
      </c>
      <c r="B40" s="60" t="inlineStr">
        <is>
          <t>United States</t>
        </is>
      </c>
      <c r="C40" s="60" t="inlineStr">
        <is>
          <t>United States</t>
        </is>
      </c>
      <c r="D40" s="60" t="inlineStr">
        <is>
          <t>Artificial intelligence research, models and AI safety</t>
        </is>
      </c>
      <c r="E40" s="60" t="inlineStr">
        <is>
          <t>Anthropic News</t>
        </is>
      </c>
      <c r="F40" s="60" t="inlineStr">
        <is>
          <t>Anthropic</t>
        </is>
      </c>
      <c r="G40" s="60" t="inlineStr">
        <is>
          <t>https://www.anthropic.com/news</t>
        </is>
      </c>
      <c r="H40" s="60" t="inlineStr">
        <is>
          <t>https://www.anthropic.com/news</t>
        </is>
      </c>
      <c r="I40" s="76" t="n">
        <v>5</v>
      </c>
      <c r="J40" s="60" t="inlineStr">
        <is>
          <t>No</t>
        </is>
      </c>
      <c r="K40" s="60" t="inlineStr">
        <is>
          <t>Official company newsroom for AI research, model and safety developments.</t>
        </is>
      </c>
    </row>
    <row r="41" ht="36" customHeight="1">
      <c r="A41" s="60" t="inlineStr">
        <is>
          <t>Yes</t>
        </is>
      </c>
      <c r="B41" s="60" t="inlineStr">
        <is>
          <t>Global</t>
        </is>
      </c>
      <c r="C41" s="60" t="inlineStr">
        <is>
          <t>United Kingdom / United States</t>
        </is>
      </c>
      <c r="D41" s="60" t="inlineStr">
        <is>
          <t>Artificial intelligence, robotics, biotechnology and scientific discovery</t>
        </is>
      </c>
      <c r="E41" s="60" t="inlineStr">
        <is>
          <t>Google DeepMind Blog</t>
        </is>
      </c>
      <c r="F41" s="60" t="inlineStr">
        <is>
          <t>Google DeepMind</t>
        </is>
      </c>
      <c r="G41" s="60" t="inlineStr">
        <is>
          <t>https://deepmind.google/discover/blog/</t>
        </is>
      </c>
      <c r="H41" s="60" t="inlineStr">
        <is>
          <t>https://deepmind.google/discover/blog/</t>
        </is>
      </c>
      <c r="I41" s="76" t="n">
        <v>5</v>
      </c>
      <c r="J41" s="60" t="inlineStr">
        <is>
          <t>No</t>
        </is>
      </c>
      <c r="K41" s="60" t="inlineStr">
        <is>
          <t>Official corporate research publication.</t>
        </is>
      </c>
    </row>
    <row r="42" ht="36" customHeight="1">
      <c r="A42" s="60" t="inlineStr">
        <is>
          <t>Yes</t>
        </is>
      </c>
      <c r="B42" s="60" t="inlineStr">
        <is>
          <t>Global</t>
        </is>
      </c>
      <c r="C42" s="60" t="inlineStr">
        <is>
          <t>United States</t>
        </is>
      </c>
      <c r="D42" s="60" t="inlineStr">
        <is>
          <t>Artificial intelligence research, open models and AI infrastructure</t>
        </is>
      </c>
      <c r="E42" s="60" t="inlineStr">
        <is>
          <t>Meta AI Blog</t>
        </is>
      </c>
      <c r="F42" s="60" t="inlineStr">
        <is>
          <t>Meta</t>
        </is>
      </c>
      <c r="G42" s="60" t="inlineStr">
        <is>
          <t>https://ai.meta.com/blog/</t>
        </is>
      </c>
      <c r="H42" s="60" t="inlineStr">
        <is>
          <t>https://ai.meta.com/blog/</t>
        </is>
      </c>
      <c r="I42" s="76" t="n">
        <v>5</v>
      </c>
      <c r="J42" s="60" t="inlineStr">
        <is>
          <t>No</t>
        </is>
      </c>
      <c r="K42" s="60" t="inlineStr">
        <is>
          <t>Official Meta AI research and engineering publication.</t>
        </is>
      </c>
    </row>
    <row r="43" ht="36" customHeight="1">
      <c r="A43" s="60" t="inlineStr">
        <is>
          <t>Yes</t>
        </is>
      </c>
      <c r="B43" s="60" t="inlineStr">
        <is>
          <t>Global</t>
        </is>
      </c>
      <c r="C43" s="60" t="inlineStr">
        <is>
          <t>United States</t>
        </is>
      </c>
      <c r="D43" s="60" t="inlineStr">
        <is>
          <t>Artificial intelligence, robotics, quantum and computing research</t>
        </is>
      </c>
      <c r="E43" s="60" t="inlineStr">
        <is>
          <t>Amazon Science</t>
        </is>
      </c>
      <c r="F43" s="60" t="inlineStr">
        <is>
          <t>Amazon</t>
        </is>
      </c>
      <c r="G43" s="60" t="inlineStr">
        <is>
          <t>https://www.amazon.science/latest-news</t>
        </is>
      </c>
      <c r="H43" s="60" t="inlineStr">
        <is>
          <t>https://www.amazon.science/latest-news</t>
        </is>
      </c>
      <c r="I43" s="76" t="n">
        <v>4</v>
      </c>
      <c r="J43" s="60" t="inlineStr">
        <is>
          <t>No</t>
        </is>
      </c>
      <c r="K43" s="60" t="inlineStr">
        <is>
          <t>Official corporate research publication.</t>
        </is>
      </c>
    </row>
    <row r="44" ht="36" customHeight="1">
      <c r="A44" s="60" t="inlineStr">
        <is>
          <t>Yes</t>
        </is>
      </c>
      <c r="B44" s="60" t="inlineStr">
        <is>
          <t>EU &amp; Europe</t>
        </is>
      </c>
      <c r="C44" s="60" t="inlineStr">
        <is>
          <t>France</t>
        </is>
      </c>
      <c r="D44" s="60" t="inlineStr">
        <is>
          <t>Artificial intelligence models, infrastructure and applied research</t>
        </is>
      </c>
      <c r="E44" s="60" t="inlineStr">
        <is>
          <t>Mistral AI News</t>
        </is>
      </c>
      <c r="F44" s="60" t="inlineStr">
        <is>
          <t>Mistral AI</t>
        </is>
      </c>
      <c r="G44" s="60" t="inlineStr">
        <is>
          <t>https://mistral.ai/news</t>
        </is>
      </c>
      <c r="H44" s="60" t="inlineStr">
        <is>
          <t>https://mistral.ai/</t>
        </is>
      </c>
      <c r="I44" s="76" t="n">
        <v>4</v>
      </c>
      <c r="J44" s="60" t="inlineStr">
        <is>
          <t>No</t>
        </is>
      </c>
      <c r="K44" s="60" t="inlineStr">
        <is>
          <t>Official European AI company publication.</t>
        </is>
      </c>
    </row>
    <row r="45" ht="36" customHeight="1">
      <c r="A45" s="60" t="inlineStr">
        <is>
          <t>Yes</t>
        </is>
      </c>
      <c r="B45" s="60" t="inlineStr">
        <is>
          <t>United States</t>
        </is>
      </c>
      <c r="C45" s="60" t="inlineStr">
        <is>
          <t>United States</t>
        </is>
      </c>
      <c r="D45" s="60" t="inlineStr">
        <is>
          <t>Robotics, autonomous systems and physical AI</t>
        </is>
      </c>
      <c r="E45" s="60" t="inlineStr">
        <is>
          <t>Boston Dynamics Blog</t>
        </is>
      </c>
      <c r="F45" s="60" t="inlineStr">
        <is>
          <t>Boston Dynamics</t>
        </is>
      </c>
      <c r="G45" s="60" t="inlineStr">
        <is>
          <t>https://bostondynamics.com/blog/</t>
        </is>
      </c>
      <c r="H45" s="60" t="inlineStr">
        <is>
          <t>https://bostondynamics.com/blog/</t>
        </is>
      </c>
      <c r="I45" s="76" t="n">
        <v>4</v>
      </c>
      <c r="J45" s="60" t="inlineStr">
        <is>
          <t>No</t>
        </is>
      </c>
      <c r="K45" s="60" t="inlineStr">
        <is>
          <t>Official robotics engineering publication.</t>
        </is>
      </c>
    </row>
    <row r="46" ht="36" customHeight="1">
      <c r="A46" s="60" t="inlineStr">
        <is>
          <t>Yes</t>
        </is>
      </c>
      <c r="B46" s="60" t="inlineStr">
        <is>
          <t>Global</t>
        </is>
      </c>
      <c r="C46" s="60" t="inlineStr">
        <is>
          <t>Japan / United States</t>
        </is>
      </c>
      <c r="D46" s="60" t="inlineStr">
        <is>
          <t>Robotics, autonomous systems, AI and materials research</t>
        </is>
      </c>
      <c r="E46" s="60" t="inlineStr">
        <is>
          <t>Toyota Research Institute News</t>
        </is>
      </c>
      <c r="F46" s="60" t="inlineStr">
        <is>
          <t>Toyota Research Institute</t>
        </is>
      </c>
      <c r="G46" s="60" t="inlineStr">
        <is>
          <t>https://www.tri.global/news</t>
        </is>
      </c>
      <c r="H46" s="60" t="inlineStr">
        <is>
          <t>https://www.tri.global/news</t>
        </is>
      </c>
      <c r="I46" s="76" t="n">
        <v>4</v>
      </c>
      <c r="J46" s="60" t="inlineStr">
        <is>
          <t>No</t>
        </is>
      </c>
      <c r="K46" s="60" t="inlineStr">
        <is>
          <t>Official Toyota research and development publication.</t>
        </is>
      </c>
    </row>
    <row r="47" ht="36" customHeight="1">
      <c r="A47" s="60" t="inlineStr">
        <is>
          <t>Yes</t>
        </is>
      </c>
      <c r="B47" s="60" t="inlineStr">
        <is>
          <t>EU &amp; Europe</t>
        </is>
      </c>
      <c r="C47" s="60" t="inlineStr">
        <is>
          <t>Switzerland</t>
        </is>
      </c>
      <c r="D47" s="60" t="inlineStr">
        <is>
          <t>Industrial robotics, automation and physical AI</t>
        </is>
      </c>
      <c r="E47" s="60" t="inlineStr">
        <is>
          <t>ABB Robotics News</t>
        </is>
      </c>
      <c r="F47" s="60" t="inlineStr">
        <is>
          <t>ABB Robotics</t>
        </is>
      </c>
      <c r="G47" s="60" t="inlineStr">
        <is>
          <t>https://new.abb.com/news</t>
        </is>
      </c>
      <c r="H47" s="60" t="inlineStr">
        <is>
          <t>https://new.abb.com/products/robotics</t>
        </is>
      </c>
      <c r="I47" s="76" t="n">
        <v>4</v>
      </c>
      <c r="J47" s="60" t="inlineStr">
        <is>
          <t>No</t>
        </is>
      </c>
      <c r="K47" s="60" t="inlineStr">
        <is>
          <t>Official ABB releases; the technology filter retains robotics and automation R&amp;D.</t>
        </is>
      </c>
    </row>
    <row r="48" ht="36" customHeight="1">
      <c r="A48" s="60" t="inlineStr">
        <is>
          <t>Yes</t>
        </is>
      </c>
      <c r="B48" s="60" t="inlineStr">
        <is>
          <t>Global</t>
        </is>
      </c>
      <c r="C48" s="60" t="inlineStr">
        <is>
          <t>Japan</t>
        </is>
      </c>
      <c r="D48" s="60" t="inlineStr">
        <is>
          <t>Industrial robotics, CNC, automation and physical AI</t>
        </is>
      </c>
      <c r="E48" s="60" t="inlineStr">
        <is>
          <t>FANUC America Press Releases</t>
        </is>
      </c>
      <c r="F48" s="60" t="inlineStr">
        <is>
          <t>FANUC</t>
        </is>
      </c>
      <c r="G48" s="60" t="inlineStr">
        <is>
          <t>https://www.fanucamerica.com/press-releases</t>
        </is>
      </c>
      <c r="H48" s="60" t="inlineStr">
        <is>
          <t>https://www.fanuc.co.jp/eindex.html</t>
        </is>
      </c>
      <c r="I48" s="76" t="n">
        <v>4</v>
      </c>
      <c r="J48" s="60" t="inlineStr">
        <is>
          <t>No</t>
        </is>
      </c>
      <c r="K48" s="60" t="inlineStr">
        <is>
          <t>Official FANUC robotics and factory-automation releases.</t>
        </is>
      </c>
    </row>
    <row r="49" ht="36" customHeight="1">
      <c r="A49" s="60" t="inlineStr">
        <is>
          <t>Yes</t>
        </is>
      </c>
      <c r="B49" s="60" t="inlineStr">
        <is>
          <t>Asia</t>
        </is>
      </c>
      <c r="C49" s="60" t="inlineStr">
        <is>
          <t>Taiwan</t>
        </is>
      </c>
      <c r="D49" s="60" t="inlineStr">
        <is>
          <t>Semiconductor process technology, manufacturing and advanced packaging</t>
        </is>
      </c>
      <c r="E49" s="60" t="inlineStr">
        <is>
          <t>TSMC News</t>
        </is>
      </c>
      <c r="F49" s="60" t="inlineStr">
        <is>
          <t>TSMC</t>
        </is>
      </c>
      <c r="G49" s="60" t="inlineStr">
        <is>
          <t>https://pr.tsmc.com/english/latest-news</t>
        </is>
      </c>
      <c r="H49" s="60" t="inlineStr">
        <is>
          <t>https://pr.tsmc.com/english</t>
        </is>
      </c>
      <c r="I49" s="76" t="n">
        <v>5</v>
      </c>
      <c r="J49" s="60" t="inlineStr">
        <is>
          <t>No</t>
        </is>
      </c>
      <c r="K49" s="60" t="inlineStr">
        <is>
          <t>Official semiconductor foundry newsroom.</t>
        </is>
      </c>
    </row>
    <row r="50" ht="36" customHeight="1">
      <c r="A50" s="60" t="inlineStr">
        <is>
          <t>Yes</t>
        </is>
      </c>
      <c r="B50" s="60" t="inlineStr">
        <is>
          <t>EU &amp; Europe</t>
        </is>
      </c>
      <c r="C50" s="60" t="inlineStr">
        <is>
          <t>Netherlands</t>
        </is>
      </c>
      <c r="D50" s="60" t="inlineStr">
        <is>
          <t>Semiconductor lithography, manufacturing equipment and process technology</t>
        </is>
      </c>
      <c r="E50" s="60" t="inlineStr">
        <is>
          <t>ASML News</t>
        </is>
      </c>
      <c r="F50" s="60" t="inlineStr">
        <is>
          <t>ASML</t>
        </is>
      </c>
      <c r="G50" s="60" t="inlineStr">
        <is>
          <t>https://www.asml.com/en/news/press-releases</t>
        </is>
      </c>
      <c r="H50" s="60" t="inlineStr">
        <is>
          <t>https://www.asml.com/en/news/press-releases</t>
        </is>
      </c>
      <c r="I50" s="76" t="n">
        <v>5</v>
      </c>
      <c r="J50" s="60" t="inlineStr">
        <is>
          <t>No</t>
        </is>
      </c>
      <c r="K50" s="60" t="inlineStr">
        <is>
          <t>Official semiconductor-equipment newsroom.</t>
        </is>
      </c>
    </row>
    <row r="51" ht="36" customHeight="1">
      <c r="A51" s="60" t="inlineStr">
        <is>
          <t>Yes</t>
        </is>
      </c>
      <c r="B51" s="60" t="inlineStr">
        <is>
          <t>Asia</t>
        </is>
      </c>
      <c r="C51" s="60" t="inlineStr">
        <is>
          <t>South Korea</t>
        </is>
      </c>
      <c r="D51" s="60" t="inlineStr">
        <is>
          <t>Semiconductor memory, HBM, NAND and AI infrastructure</t>
        </is>
      </c>
      <c r="E51" s="60" t="inlineStr">
        <is>
          <t>SK hynix Newsroom</t>
        </is>
      </c>
      <c r="F51" s="60" t="inlineStr">
        <is>
          <t>SK hynix</t>
        </is>
      </c>
      <c r="G51" s="60" t="inlineStr">
        <is>
          <t>https://news.skhynix.com/</t>
        </is>
      </c>
      <c r="H51" s="60" t="inlineStr">
        <is>
          <t>https://news.skhynix.com/</t>
        </is>
      </c>
      <c r="I51" s="76" t="n">
        <v>5</v>
      </c>
      <c r="J51" s="60" t="inlineStr">
        <is>
          <t>No</t>
        </is>
      </c>
      <c r="K51" s="60" t="inlineStr">
        <is>
          <t>Official semiconductor-memory newsroom.</t>
        </is>
      </c>
    </row>
    <row r="52" ht="36" customHeight="1">
      <c r="A52" s="60" t="inlineStr">
        <is>
          <t>Yes</t>
        </is>
      </c>
      <c r="B52" s="60" t="inlineStr">
        <is>
          <t>EU &amp; Europe</t>
        </is>
      </c>
      <c r="C52" s="60" t="inlineStr">
        <is>
          <t>United Kingdom</t>
        </is>
      </c>
      <c r="D52" s="60" t="inlineStr">
        <is>
          <t>Semiconductor architecture, chiplets, edge computing and AI infrastructure</t>
        </is>
      </c>
      <c r="E52" s="60" t="inlineStr">
        <is>
          <t>Arm Newsroom</t>
        </is>
      </c>
      <c r="F52" s="60" t="inlineStr">
        <is>
          <t>Arm</t>
        </is>
      </c>
      <c r="G52" s="60" t="inlineStr">
        <is>
          <t>https://newsroom.arm.com/news</t>
        </is>
      </c>
      <c r="H52" s="60" t="inlineStr">
        <is>
          <t>https://newsroom.arm.com/</t>
        </is>
      </c>
      <c r="I52" s="76" t="n">
        <v>5</v>
      </c>
      <c r="J52" s="60" t="inlineStr">
        <is>
          <t>No</t>
        </is>
      </c>
      <c r="K52" s="60" t="inlineStr">
        <is>
          <t>Official semiconductor architecture and engineering newsroom.</t>
        </is>
      </c>
    </row>
    <row r="53" ht="36" customHeight="1">
      <c r="A53" s="60" t="inlineStr">
        <is>
          <t>Yes</t>
        </is>
      </c>
      <c r="B53" s="60" t="inlineStr">
        <is>
          <t>Global</t>
        </is>
      </c>
      <c r="C53" s="60" t="inlineStr">
        <is>
          <t>United States</t>
        </is>
      </c>
      <c r="D53" s="60" t="inlineStr">
        <is>
          <t>Semiconductors, wireless communications, edge AI and standards</t>
        </is>
      </c>
      <c r="E53" s="60" t="inlineStr">
        <is>
          <t>Qualcomm News</t>
        </is>
      </c>
      <c r="F53" s="60" t="inlineStr">
        <is>
          <t>Qualcomm</t>
        </is>
      </c>
      <c r="G53" s="60" t="inlineStr">
        <is>
          <t>https://www.qualcomm.com/news/releases</t>
        </is>
      </c>
      <c r="H53" s="60" t="inlineStr">
        <is>
          <t>https://www.qualcomm.com/news/releases</t>
        </is>
      </c>
      <c r="I53" s="76" t="n">
        <v>4</v>
      </c>
      <c r="J53" s="60" t="inlineStr">
        <is>
          <t>No</t>
        </is>
      </c>
      <c r="K53" s="60" t="inlineStr">
        <is>
          <t>Official semiconductor and wireless-technology newsroom.</t>
        </is>
      </c>
    </row>
    <row r="54" ht="36" customHeight="1">
      <c r="A54" s="60" t="inlineStr">
        <is>
          <t>Yes</t>
        </is>
      </c>
      <c r="B54" s="60" t="inlineStr">
        <is>
          <t>EU &amp; Europe</t>
        </is>
      </c>
      <c r="C54" s="60" t="inlineStr">
        <is>
          <t>Sweden</t>
        </is>
      </c>
      <c r="D54" s="60" t="inlineStr">
        <is>
          <t>Telecommunications, 5G, 6G, networking and standards</t>
        </is>
      </c>
      <c r="E54" s="60" t="inlineStr">
        <is>
          <t>Ericsson Press Releases</t>
        </is>
      </c>
      <c r="F54" s="60" t="inlineStr">
        <is>
          <t>Ericsson</t>
        </is>
      </c>
      <c r="G54" s="60" t="inlineStr">
        <is>
          <t>https://www.ericsson.com/en/newsroom</t>
        </is>
      </c>
      <c r="H54" s="60" t="inlineStr">
        <is>
          <t>https://www.ericsson.com/en/newsroom</t>
        </is>
      </c>
      <c r="I54" s="76" t="n">
        <v>4</v>
      </c>
      <c r="J54" s="60" t="inlineStr">
        <is>
          <t>No</t>
        </is>
      </c>
      <c r="K54" s="60" t="inlineStr">
        <is>
          <t>Official telecommunications R&amp;D and standards releases.</t>
        </is>
      </c>
    </row>
    <row r="55" ht="36" customHeight="1">
      <c r="A55" s="60" t="inlineStr">
        <is>
          <t>Yes</t>
        </is>
      </c>
      <c r="B55" s="60" t="inlineStr">
        <is>
          <t>EU &amp; Europe</t>
        </is>
      </c>
      <c r="C55" s="60" t="inlineStr">
        <is>
          <t>Finland</t>
        </is>
      </c>
      <c r="D55" s="60" t="inlineStr">
        <is>
          <t>Telecommunications, 5G, 6G, optical networking and quantum-safe networks</t>
        </is>
      </c>
      <c r="E55" s="60" t="inlineStr">
        <is>
          <t>Nokia Newsroom</t>
        </is>
      </c>
      <c r="F55" s="60" t="inlineStr">
        <is>
          <t>Nokia</t>
        </is>
      </c>
      <c r="G55" s="60" t="inlineStr">
        <is>
          <t>https://www.nokia.com/about-us/newsroom/</t>
        </is>
      </c>
      <c r="H55" s="60" t="inlineStr">
        <is>
          <t>https://www.nokia.com/about-us/newsroom/</t>
        </is>
      </c>
      <c r="I55" s="76" t="n">
        <v>4</v>
      </c>
      <c r="J55" s="60" t="inlineStr">
        <is>
          <t>No</t>
        </is>
      </c>
      <c r="K55" s="60" t="inlineStr">
        <is>
          <t>Official telecommunications research and technology newsroom.</t>
        </is>
      </c>
    </row>
    <row r="56" ht="36" customHeight="1">
      <c r="A56" s="60" t="inlineStr">
        <is>
          <t>Yes</t>
        </is>
      </c>
      <c r="B56" s="60" t="inlineStr">
        <is>
          <t>Asia</t>
        </is>
      </c>
      <c r="C56" s="60" t="inlineStr">
        <is>
          <t>Japan</t>
        </is>
      </c>
      <c r="D56" s="60" t="inlineStr">
        <is>
          <t>Telecommunications, photonics, IOWN, AI and quantum research</t>
        </is>
      </c>
      <c r="E56" s="60" t="inlineStr">
        <is>
          <t>NTT R&amp;D News</t>
        </is>
      </c>
      <c r="F56" s="60" t="inlineStr">
        <is>
          <t>NTT</t>
        </is>
      </c>
      <c r="G56" s="60" t="inlineStr">
        <is>
          <t>https://group.ntt/en/newsrelease/</t>
        </is>
      </c>
      <c r="H56" s="60" t="inlineStr">
        <is>
          <t>https://group.ntt/en/newsrelease/</t>
        </is>
      </c>
      <c r="I56" s="76" t="n">
        <v>5</v>
      </c>
      <c r="J56" s="60" t="inlineStr">
        <is>
          <t>No</t>
        </is>
      </c>
      <c r="K56" s="60" t="inlineStr">
        <is>
          <t>Official Japanese telecommunications and corporate R&amp;D releases.</t>
        </is>
      </c>
    </row>
    <row r="57" ht="36" customHeight="1">
      <c r="A57" s="60" t="inlineStr">
        <is>
          <t>Yes</t>
        </is>
      </c>
      <c r="B57" s="60" t="inlineStr">
        <is>
          <t>Asia</t>
        </is>
      </c>
      <c r="C57" s="60" t="inlineStr">
        <is>
          <t>Japan</t>
        </is>
      </c>
      <c r="D57" s="60" t="inlineStr">
        <is>
          <t>Advanced semiconductor process technology and manufacturing</t>
        </is>
      </c>
      <c r="E57" s="60" t="inlineStr">
        <is>
          <t>Rapidus News</t>
        </is>
      </c>
      <c r="F57" s="60" t="inlineStr">
        <is>
          <t>Rapidus</t>
        </is>
      </c>
      <c r="G57" s="60" t="inlineStr">
        <is>
          <t>https://www.rapidus.inc/en/news_topics/</t>
        </is>
      </c>
      <c r="H57" s="60" t="inlineStr">
        <is>
          <t>https://www.rapidus.inc/en/news_topics/</t>
        </is>
      </c>
      <c r="I57" s="76" t="n">
        <v>5</v>
      </c>
      <c r="J57" s="60" t="inlineStr">
        <is>
          <t>No</t>
        </is>
      </c>
      <c r="K57" s="60" t="inlineStr">
        <is>
          <t>Official Japanese advanced-semiconductor manufacturer.</t>
        </is>
      </c>
    </row>
    <row r="58" ht="36" customHeight="1">
      <c r="A58" s="60" t="inlineStr">
        <is>
          <t>Yes</t>
        </is>
      </c>
      <c r="B58" s="60" t="inlineStr">
        <is>
          <t>Global</t>
        </is>
      </c>
      <c r="C58" s="60" t="inlineStr">
        <is>
          <t>United Kingdom / United States</t>
        </is>
      </c>
      <c r="D58" s="60" t="inlineStr">
        <is>
          <t>Quantum computing, fault tolerance, quantum software and quantum security</t>
        </is>
      </c>
      <c r="E58" s="60" t="inlineStr">
        <is>
          <t>Quantinuum News</t>
        </is>
      </c>
      <c r="F58" s="60" t="inlineStr">
        <is>
          <t>Quantinuum</t>
        </is>
      </c>
      <c r="G58" s="60" t="inlineStr">
        <is>
          <t>https://www.quantinuum.com/news/news</t>
        </is>
      </c>
      <c r="H58" s="60" t="inlineStr">
        <is>
          <t>https://www.quantinuum.com/news/news</t>
        </is>
      </c>
      <c r="I58" s="76" t="n">
        <v>5</v>
      </c>
      <c r="J58" s="60" t="inlineStr">
        <is>
          <t>No</t>
        </is>
      </c>
      <c r="K58" s="60" t="inlineStr">
        <is>
          <t>Official quantum-computing company newsroom.</t>
        </is>
      </c>
    </row>
    <row r="59" ht="36" customHeight="1">
      <c r="A59" s="60" t="inlineStr">
        <is>
          <t>Yes</t>
        </is>
      </c>
      <c r="B59" s="60" t="inlineStr">
        <is>
          <t>United States</t>
        </is>
      </c>
      <c r="C59" s="60" t="inlineStr">
        <is>
          <t>United States</t>
        </is>
      </c>
      <c r="D59" s="60" t="inlineStr">
        <is>
          <t>Trapped-ion quantum computing, quantum networking and quantum security</t>
        </is>
      </c>
      <c r="E59" s="60" t="inlineStr">
        <is>
          <t>IonQ News</t>
        </is>
      </c>
      <c r="F59" s="60" t="inlineStr">
        <is>
          <t>IonQ</t>
        </is>
      </c>
      <c r="G59" s="60" t="inlineStr">
        <is>
          <t>https://www.ionq.com/news</t>
        </is>
      </c>
      <c r="H59" s="60" t="inlineStr">
        <is>
          <t>https://www.ionq.com/news</t>
        </is>
      </c>
      <c r="I59" s="76" t="n">
        <v>5</v>
      </c>
      <c r="J59" s="60" t="inlineStr">
        <is>
          <t>No</t>
        </is>
      </c>
      <c r="K59" s="60" t="inlineStr">
        <is>
          <t>Official quantum-computing company newsroom.</t>
        </is>
      </c>
    </row>
    <row r="60" ht="36" customHeight="1">
      <c r="A60" s="60" t="inlineStr">
        <is>
          <t>Yes</t>
        </is>
      </c>
      <c r="B60" s="60" t="inlineStr">
        <is>
          <t>United States</t>
        </is>
      </c>
      <c r="C60" s="60" t="inlineStr">
        <is>
          <t>United States</t>
        </is>
      </c>
      <c r="D60" s="60" t="inlineStr">
        <is>
          <t>Fusion energy, high-temperature superconducting magnets and fusion engineering</t>
        </is>
      </c>
      <c r="E60" s="60" t="inlineStr">
        <is>
          <t>Commonwealth Fusion Systems News</t>
        </is>
      </c>
      <c r="F60" s="60" t="inlineStr">
        <is>
          <t>Commonwealth Fusion Systems</t>
        </is>
      </c>
      <c r="G60" s="60" t="inlineStr">
        <is>
          <t>https://cfs.energy/news-and-media/</t>
        </is>
      </c>
      <c r="H60" s="60" t="inlineStr">
        <is>
          <t>https://cfs.energy/news-and-media/</t>
        </is>
      </c>
      <c r="I60" s="76" t="n">
        <v>5</v>
      </c>
      <c r="J60" s="60" t="inlineStr">
        <is>
          <t>No</t>
        </is>
      </c>
      <c r="K60" s="60" t="inlineStr">
        <is>
          <t>Official fusion-energy company newsroom.</t>
        </is>
      </c>
    </row>
    <row r="61" ht="36" customHeight="1">
      <c r="A61" s="60" t="inlineStr">
        <is>
          <t>Yes</t>
        </is>
      </c>
      <c r="B61" s="60" t="inlineStr">
        <is>
          <t>United States</t>
        </is>
      </c>
      <c r="C61" s="60" t="inlineStr">
        <is>
          <t>United States</t>
        </is>
      </c>
      <c r="D61" s="60" t="inlineStr">
        <is>
          <t>Fusion energy, pulsed fusion systems and fusion power engineering</t>
        </is>
      </c>
      <c r="E61" s="60" t="inlineStr">
        <is>
          <t>Helion Energy News</t>
        </is>
      </c>
      <c r="F61" s="60" t="inlineStr">
        <is>
          <t>Helion Energy</t>
        </is>
      </c>
      <c r="G61" s="60" t="inlineStr">
        <is>
          <t>https://www.helionenergy.com/blog</t>
        </is>
      </c>
      <c r="H61" s="60" t="inlineStr">
        <is>
          <t>https://www.helionenergy.com/blog</t>
        </is>
      </c>
      <c r="I61" s="76" t="n">
        <v>4</v>
      </c>
      <c r="J61" s="60" t="inlineStr">
        <is>
          <t>No</t>
        </is>
      </c>
      <c r="K61" s="60" t="inlineStr">
        <is>
          <t>Official fusion-energy engineering updates.</t>
        </is>
      </c>
    </row>
    <row r="62" ht="36" customHeight="1">
      <c r="A62" s="60" t="inlineStr">
        <is>
          <t>Yes</t>
        </is>
      </c>
      <c r="B62" s="60" t="inlineStr">
        <is>
          <t>EU &amp; Europe</t>
        </is>
      </c>
      <c r="C62" s="60" t="inlineStr">
        <is>
          <t>United Kingdom</t>
        </is>
      </c>
      <c r="D62" s="60" t="inlineStr">
        <is>
          <t>Fusion energy, spherical tokamaks and high-temperature superconducting magnets</t>
        </is>
      </c>
      <c r="E62" s="60" t="inlineStr">
        <is>
          <t>Tokamak Energy News</t>
        </is>
      </c>
      <c r="F62" s="60" t="inlineStr">
        <is>
          <t>Tokamak Energy</t>
        </is>
      </c>
      <c r="G62" s="60" t="inlineStr">
        <is>
          <t>https://tokamakenergy.com/latest-news/</t>
        </is>
      </c>
      <c r="H62" s="60" t="inlineStr">
        <is>
          <t>https://tokamakenergy.com/latest-news/</t>
        </is>
      </c>
      <c r="I62" s="76" t="n">
        <v>4</v>
      </c>
      <c r="J62" s="60" t="inlineStr">
        <is>
          <t>No</t>
        </is>
      </c>
      <c r="K62" s="60" t="inlineStr">
        <is>
          <t>Official fusion-energy company newsroom.</t>
        </is>
      </c>
    </row>
    <row r="63" ht="36" customHeight="1">
      <c r="A63" s="60" t="inlineStr">
        <is>
          <t>Yes</t>
        </is>
      </c>
      <c r="B63" s="60" t="inlineStr">
        <is>
          <t>Asia</t>
        </is>
      </c>
      <c r="C63" s="60" t="inlineStr">
        <is>
          <t>Japan</t>
        </is>
      </c>
      <c r="D63" s="60" t="inlineStr">
        <is>
          <t>Fusion energy, fusion plant engineering and tritium technologies</t>
        </is>
      </c>
      <c r="E63" s="60" t="inlineStr">
        <is>
          <t>Kyoto Fusioneering News</t>
        </is>
      </c>
      <c r="F63" s="60" t="inlineStr">
        <is>
          <t>Kyoto Fusioneering</t>
        </is>
      </c>
      <c r="G63" s="60" t="inlineStr">
        <is>
          <t>https://kyotofusioneering.com/en/news/</t>
        </is>
      </c>
      <c r="H63" s="60" t="inlineStr">
        <is>
          <t>https://kyotofusioneering.com/en/news/</t>
        </is>
      </c>
      <c r="I63" s="76" t="n">
        <v>4</v>
      </c>
      <c r="J63" s="60" t="inlineStr">
        <is>
          <t>No</t>
        </is>
      </c>
      <c r="K63" s="60" t="inlineStr">
        <is>
          <t>Official Japanese fusion-engineering company newsroom.</t>
        </is>
      </c>
    </row>
    <row r="64" ht="36" customHeight="1">
      <c r="A64" s="60" t="inlineStr">
        <is>
          <t>Yes</t>
        </is>
      </c>
      <c r="B64" s="60" t="inlineStr">
        <is>
          <t>United States</t>
        </is>
      </c>
      <c r="C64" s="60" t="inlineStr">
        <is>
          <t>United States</t>
        </is>
      </c>
      <c r="D64" s="60" t="inlineStr">
        <is>
          <t>Biotechnology, mRNA platforms, vaccines and clinical research</t>
        </is>
      </c>
      <c r="E64" s="60" t="inlineStr">
        <is>
          <t>Moderna Media Center</t>
        </is>
      </c>
      <c r="F64" s="60" t="inlineStr">
        <is>
          <t>Moderna</t>
        </is>
      </c>
      <c r="G64" s="60" t="inlineStr">
        <is>
          <t>https://www.modernatx.com/media-center/all-media</t>
        </is>
      </c>
      <c r="H64" s="60" t="inlineStr">
        <is>
          <t>https://www.modernatx.com/media-center/all-media</t>
        </is>
      </c>
      <c r="I64" s="76" t="n">
        <v>4</v>
      </c>
      <c r="J64" s="60" t="inlineStr">
        <is>
          <t>No</t>
        </is>
      </c>
      <c r="K64" s="60" t="inlineStr">
        <is>
          <t>Official biotechnology company newsroom; financial-only releases are excluded.</t>
        </is>
      </c>
    </row>
    <row r="65" ht="36" customHeight="1">
      <c r="A65" s="60" t="inlineStr">
        <is>
          <t>Yes</t>
        </is>
      </c>
      <c r="B65" s="60" t="inlineStr">
        <is>
          <t>EU &amp; Europe</t>
        </is>
      </c>
      <c r="C65" s="60" t="inlineStr">
        <is>
          <t>Germany</t>
        </is>
      </c>
      <c r="D65" s="60" t="inlineStr">
        <is>
          <t>Biotechnology, mRNA, immunotherapy and clinical research</t>
        </is>
      </c>
      <c r="E65" s="60" t="inlineStr">
        <is>
          <t>BioNTech Press Releases</t>
        </is>
      </c>
      <c r="F65" s="60" t="inlineStr">
        <is>
          <t>BioNTech</t>
        </is>
      </c>
      <c r="G65" s="60" t="inlineStr">
        <is>
          <t>https://www.biontech.com/int/en/home/mediaroom/news.html</t>
        </is>
      </c>
      <c r="H65" s="60" t="inlineStr">
        <is>
          <t>https://www.biontech.com/int/en/home/mediaroom/news.html</t>
        </is>
      </c>
      <c r="I65" s="76" t="n">
        <v>4</v>
      </c>
      <c r="J65" s="60" t="inlineStr">
        <is>
          <t>No</t>
        </is>
      </c>
      <c r="K65" s="60" t="inlineStr">
        <is>
          <t>Official biotechnology company newsroom; financial-only releases are excluded.</t>
        </is>
      </c>
    </row>
    <row r="66" ht="36" customHeight="1">
      <c r="A66" s="60" t="inlineStr">
        <is>
          <t>Yes</t>
        </is>
      </c>
      <c r="B66" s="60" t="inlineStr">
        <is>
          <t>EU &amp; Europe</t>
        </is>
      </c>
      <c r="C66" s="60" t="inlineStr">
        <is>
          <t>Switzerland</t>
        </is>
      </c>
      <c r="D66" s="60" t="inlineStr">
        <is>
          <t>Biotechnology, diagnostics, drug development and clinical research</t>
        </is>
      </c>
      <c r="E66" s="60" t="inlineStr">
        <is>
          <t>Roche Media Releases</t>
        </is>
      </c>
      <c r="F66" s="60" t="inlineStr">
        <is>
          <t>Roche</t>
        </is>
      </c>
      <c r="G66" s="60" t="inlineStr">
        <is>
          <t>https://www.roche.com/media/releases</t>
        </is>
      </c>
      <c r="H66" s="60" t="inlineStr">
        <is>
          <t>https://www.roche.com/media/releases</t>
        </is>
      </c>
      <c r="I66" s="76" t="n">
        <v>4</v>
      </c>
      <c r="J66" s="60" t="inlineStr">
        <is>
          <t>No</t>
        </is>
      </c>
      <c r="K66" s="60" t="inlineStr">
        <is>
          <t>Official biotechnology and healthcare company newsroom.</t>
        </is>
      </c>
    </row>
    <row r="67" ht="36" customHeight="1">
      <c r="A67" s="60" t="inlineStr">
        <is>
          <t>Yes</t>
        </is>
      </c>
      <c r="B67" s="60" t="inlineStr">
        <is>
          <t>EU &amp; Europe</t>
        </is>
      </c>
      <c r="C67" s="60" t="inlineStr">
        <is>
          <t>United Kingdom</t>
        </is>
      </c>
      <c r="D67" s="60" t="inlineStr">
        <is>
          <t>Drug development, biotechnology, clinical trials and healthcare research</t>
        </is>
      </c>
      <c r="E67" s="60" t="inlineStr">
        <is>
          <t>AstraZeneca Press Releases</t>
        </is>
      </c>
      <c r="F67" s="60" t="inlineStr">
        <is>
          <t>AstraZeneca</t>
        </is>
      </c>
      <c r="G67" s="60" t="inlineStr">
        <is>
          <t>https://www.astrazeneca.com/media-centre/press-releases.html</t>
        </is>
      </c>
      <c r="H67" s="60" t="inlineStr">
        <is>
          <t>https://www.astrazeneca.com/media-centre/press-releases.html</t>
        </is>
      </c>
      <c r="I67" s="76" t="n">
        <v>4</v>
      </c>
      <c r="J67" s="60" t="inlineStr">
        <is>
          <t>No</t>
        </is>
      </c>
      <c r="K67" s="60" t="inlineStr">
        <is>
          <t>Official biopharma newsroom; clinical and R&amp;D developments are retained.</t>
        </is>
      </c>
    </row>
    <row r="68" ht="36" customHeight="1">
      <c r="A68" s="60" t="inlineStr">
        <is>
          <t>Yes</t>
        </is>
      </c>
      <c r="B68" s="60" t="inlineStr">
        <is>
          <t>United States</t>
        </is>
      </c>
      <c r="C68" s="60" t="inlineStr">
        <is>
          <t>United States</t>
        </is>
      </c>
      <c r="D68" s="60" t="inlineStr">
        <is>
          <t>Genomics, sequencing technology, biotechnology and precision medicine</t>
        </is>
      </c>
      <c r="E68" s="60" t="inlineStr">
        <is>
          <t>Illumina News Center</t>
        </is>
      </c>
      <c r="F68" s="60" t="inlineStr">
        <is>
          <t>Illumina</t>
        </is>
      </c>
      <c r="G68" s="60" t="inlineStr">
        <is>
          <t>https://www.illumina.com/company/news-center.html</t>
        </is>
      </c>
      <c r="H68" s="60" t="inlineStr">
        <is>
          <t>https://www.illumina.com/company/news-center.html</t>
        </is>
      </c>
      <c r="I68" s="76" t="n">
        <v>4</v>
      </c>
      <c r="J68" s="60" t="inlineStr">
        <is>
          <t>No</t>
        </is>
      </c>
      <c r="K68" s="60" t="inlineStr">
        <is>
          <t>Official genomics and sequencing-technology newsroom.</t>
        </is>
      </c>
    </row>
    <row r="69" ht="36" customHeight="1">
      <c r="A69" s="60" t="inlineStr">
        <is>
          <t>Yes</t>
        </is>
      </c>
      <c r="B69" s="60" t="inlineStr">
        <is>
          <t>United States</t>
        </is>
      </c>
      <c r="C69" s="60" t="inlineStr">
        <is>
          <t>United States</t>
        </is>
      </c>
      <c r="D69" s="60" t="inlineStr">
        <is>
          <t>Space launch, spacecraft, satellite communications and reusable rockets</t>
        </is>
      </c>
      <c r="E69" s="60" t="inlineStr">
        <is>
          <t>SpaceX Updates</t>
        </is>
      </c>
      <c r="F69" s="60" t="inlineStr">
        <is>
          <t>SpaceX</t>
        </is>
      </c>
      <c r="G69" s="60" t="inlineStr">
        <is>
          <t>https://www.spacex.com/updates</t>
        </is>
      </c>
      <c r="H69" s="60" t="inlineStr">
        <is>
          <t>https://www.spacex.com/updates</t>
        </is>
      </c>
      <c r="I69" s="76" t="n">
        <v>5</v>
      </c>
      <c r="J69" s="60" t="inlineStr">
        <is>
          <t>No</t>
        </is>
      </c>
      <c r="K69" s="60" t="inlineStr">
        <is>
          <t>Official launch-vehicle and spacecraft engineering updates.</t>
        </is>
      </c>
    </row>
    <row r="70" ht="36" customHeight="1">
      <c r="A70" s="60" t="inlineStr">
        <is>
          <t>Yes</t>
        </is>
      </c>
      <c r="B70" s="60" t="inlineStr">
        <is>
          <t>United States</t>
        </is>
      </c>
      <c r="C70" s="60" t="inlineStr">
        <is>
          <t>United States</t>
        </is>
      </c>
      <c r="D70" s="60" t="inlineStr">
        <is>
          <t>Space launch, rocket engines, lunar systems and reusable spacecraft</t>
        </is>
      </c>
      <c r="E70" s="60" t="inlineStr">
        <is>
          <t>Blue Origin News</t>
        </is>
      </c>
      <c r="F70" s="60" t="inlineStr">
        <is>
          <t>Blue Origin</t>
        </is>
      </c>
      <c r="G70" s="60" t="inlineStr">
        <is>
          <t>https://www.blueorigin.com/news</t>
        </is>
      </c>
      <c r="H70" s="60" t="inlineStr">
        <is>
          <t>https://www.blueorigin.com/news</t>
        </is>
      </c>
      <c r="I70" s="76" t="n">
        <v>5</v>
      </c>
      <c r="J70" s="60" t="inlineStr">
        <is>
          <t>No</t>
        </is>
      </c>
      <c r="K70" s="60" t="inlineStr">
        <is>
          <t>Official launch-vehicle and space-systems newsroom.</t>
        </is>
      </c>
    </row>
    <row r="71" ht="36" customHeight="1">
      <c r="A71" s="60" t="inlineStr">
        <is>
          <t>Yes</t>
        </is>
      </c>
      <c r="B71" s="60" t="inlineStr">
        <is>
          <t>Global</t>
        </is>
      </c>
      <c r="C71" s="60" t="inlineStr">
        <is>
          <t>United States / New Zealand</t>
        </is>
      </c>
      <c r="D71" s="60" t="inlineStr">
        <is>
          <t>Space launch, spacecraft, satellite systems and rocket engineering</t>
        </is>
      </c>
      <c r="E71" s="60" t="inlineStr">
        <is>
          <t>Rocket Lab Updates</t>
        </is>
      </c>
      <c r="F71" s="60" t="inlineStr">
        <is>
          <t>Rocket Lab</t>
        </is>
      </c>
      <c r="G71" s="60" t="inlineStr">
        <is>
          <t>https://rocketlabcorp.com/updates/</t>
        </is>
      </c>
      <c r="H71" s="60" t="inlineStr">
        <is>
          <t>https://rocketlabcorp.com/updates/</t>
        </is>
      </c>
      <c r="I71" s="76" t="n">
        <v>4</v>
      </c>
      <c r="J71" s="60" t="inlineStr">
        <is>
          <t>No</t>
        </is>
      </c>
      <c r="K71" s="60" t="inlineStr">
        <is>
          <t>Official launch and space-systems company newsroom.</t>
        </is>
      </c>
    </row>
    <row r="72" ht="36" customHeight="1">
      <c r="A72" s="60" t="inlineStr">
        <is>
          <t>Yes</t>
        </is>
      </c>
      <c r="B72" s="60" t="inlineStr">
        <is>
          <t>Asia</t>
        </is>
      </c>
      <c r="C72" s="60" t="inlineStr">
        <is>
          <t>Japan</t>
        </is>
      </c>
      <c r="D72" s="60" t="inlineStr">
        <is>
          <t>Space sustainability, on-orbit servicing and debris removal</t>
        </is>
      </c>
      <c r="E72" s="60" t="inlineStr">
        <is>
          <t>Astroscale News</t>
        </is>
      </c>
      <c r="F72" s="60" t="inlineStr">
        <is>
          <t>Astroscale</t>
        </is>
      </c>
      <c r="G72" s="60" t="inlineStr">
        <is>
          <t>https://www.astroscale.com/en/news/</t>
        </is>
      </c>
      <c r="H72" s="60" t="inlineStr">
        <is>
          <t>https://www.astroscale.com/en/news/</t>
        </is>
      </c>
      <c r="I72" s="76" t="n">
        <v>4</v>
      </c>
      <c r="J72" s="60" t="inlineStr">
        <is>
          <t>No</t>
        </is>
      </c>
      <c r="K72" s="60" t="inlineStr">
        <is>
          <t>Official Japanese space-sustainability company newsroom.</t>
        </is>
      </c>
    </row>
    <row r="73" ht="36" customHeight="1">
      <c r="A73" s="60" t="inlineStr">
        <is>
          <t>Yes</t>
        </is>
      </c>
      <c r="B73" s="60" t="inlineStr">
        <is>
          <t>Asia</t>
        </is>
      </c>
      <c r="C73" s="60" t="inlineStr">
        <is>
          <t>Japan</t>
        </is>
      </c>
      <c r="D73" s="60" t="inlineStr">
        <is>
          <t>Lunar exploration, landers and space systems</t>
        </is>
      </c>
      <c r="E73" s="60" t="inlineStr">
        <is>
          <t>ispace News</t>
        </is>
      </c>
      <c r="F73" s="60" t="inlineStr">
        <is>
          <t>ispace</t>
        </is>
      </c>
      <c r="G73" s="60" t="inlineStr">
        <is>
          <t>https://www.ispace-inc.com/news/</t>
        </is>
      </c>
      <c r="H73" s="60" t="inlineStr">
        <is>
          <t>https://www.ispace-inc.com/news/</t>
        </is>
      </c>
      <c r="I73" s="76" t="n">
        <v>4</v>
      </c>
      <c r="J73" s="60" t="inlineStr">
        <is>
          <t>No</t>
        </is>
      </c>
      <c r="K73" s="60" t="inlineStr">
        <is>
          <t>Official Japanese lunar exploration company newsroom.</t>
        </is>
      </c>
    </row>
    <row r="74" ht="36" customHeight="1">
      <c r="A74" s="60" t="inlineStr">
        <is>
          <t>Yes</t>
        </is>
      </c>
      <c r="B74" s="60" t="inlineStr">
        <is>
          <t>EU &amp; Europe</t>
        </is>
      </c>
      <c r="C74" s="60" t="inlineStr">
        <is>
          <t>International / France</t>
        </is>
      </c>
      <c r="D74" s="60" t="inlineStr">
        <is>
          <t>Fusion energy</t>
        </is>
      </c>
      <c r="E74" s="60" t="inlineStr">
        <is>
          <t>ITER News</t>
        </is>
      </c>
      <c r="F74" s="60" t="inlineStr">
        <is>
          <t>ITER Organization</t>
        </is>
      </c>
      <c r="G74" s="60" t="inlineStr">
        <is>
          <t>https://www.iter.org/news</t>
        </is>
      </c>
      <c r="H74" s="60" t="inlineStr">
        <is>
          <t>https://www.iter.org/news</t>
        </is>
      </c>
      <c r="I74" s="76" t="n">
        <v>5</v>
      </c>
      <c r="J74" s="60" t="inlineStr">
        <is>
          <t>No</t>
        </is>
      </c>
      <c r="K74" s="60" t="inlineStr">
        <is>
          <t>Official international fusion project; official listing-page fallback.</t>
        </is>
      </c>
    </row>
    <row r="75" ht="36" customHeight="1">
      <c r="A75" s="60" t="inlineStr">
        <is>
          <t>Yes</t>
        </is>
      </c>
      <c r="B75" s="60" t="inlineStr">
        <is>
          <t>Global</t>
        </is>
      </c>
      <c r="C75" s="60" t="inlineStr">
        <is>
          <t>Global</t>
        </is>
      </c>
      <c r="D75" s="60" t="inlineStr">
        <is>
          <t>Fusion energy</t>
        </is>
      </c>
      <c r="E75" s="60" t="inlineStr">
        <is>
          <t>Fusion Industry Association</t>
        </is>
      </c>
      <c r="F75" s="60" t="inlineStr">
        <is>
          <t>Fusion Industry Association</t>
        </is>
      </c>
      <c r="G75" s="60" t="inlineStr">
        <is>
          <t>https://www.fusionindustryassociation.org/feed/</t>
        </is>
      </c>
      <c r="H75" s="60" t="inlineStr">
        <is>
          <t>https://www.fusionindustryassociation.org/</t>
        </is>
      </c>
      <c r="I75" s="76" t="n">
        <v>3</v>
      </c>
      <c r="J75" s="60" t="inlineStr">
        <is>
          <t>Yes</t>
        </is>
      </c>
      <c r="K75" s="60" t="inlineStr">
        <is>
          <t>Established industry association; company claims are clearly labeled by source.</t>
        </is>
      </c>
    </row>
    <row r="76" ht="36" customHeight="1">
      <c r="A76" s="60" t="inlineStr">
        <is>
          <t>Yes</t>
        </is>
      </c>
      <c r="B76" s="60" t="inlineStr">
        <is>
          <t>Asia</t>
        </is>
      </c>
      <c r="C76" s="60" t="inlineStr">
        <is>
          <t>Japan</t>
        </is>
      </c>
      <c r="D76" s="60" t="inlineStr">
        <is>
          <t>National science, technology and innovation strategy</t>
        </is>
      </c>
      <c r="E76" s="60" t="inlineStr">
        <is>
          <t>Japan Cabinet Office STI Strategy</t>
        </is>
      </c>
      <c r="F76" s="60" t="inlineStr">
        <is>
          <t>Cabinet Office, Government of Japan</t>
        </is>
      </c>
      <c r="G76" s="60" t="inlineStr">
        <is>
          <t>https://www8.cao.go.jp/cstp/tougosenryaku/index.html</t>
        </is>
      </c>
      <c r="H76" s="60" t="inlineStr">
        <is>
          <t>https://www8.cao.go.jp/cstp/tougosenryaku/index.html</t>
        </is>
      </c>
      <c r="I76" s="76" t="n">
        <v>5</v>
      </c>
      <c r="J76" s="60" t="inlineStr">
        <is>
          <t>No</t>
        </is>
      </c>
      <c r="K76" s="60" t="inlineStr">
        <is>
          <t>Official annual Japanese science, technology and innovation strategy.</t>
        </is>
      </c>
    </row>
    <row r="77" ht="36" customHeight="1">
      <c r="A77" s="60" t="inlineStr">
        <is>
          <t>Yes</t>
        </is>
      </c>
      <c r="B77" s="60" t="inlineStr">
        <is>
          <t>Asia</t>
        </is>
      </c>
      <c r="C77" s="60" t="inlineStr">
        <is>
          <t>Japan</t>
        </is>
      </c>
      <c r="D77" s="60" t="inlineStr">
        <is>
          <t>Patents, intellectual property and technology transfer policy</t>
        </is>
      </c>
      <c r="E77" s="60" t="inlineStr">
        <is>
          <t>Japan IP Strategy Headquarters</t>
        </is>
      </c>
      <c r="F77" s="60" t="inlineStr">
        <is>
          <t>Intellectual Property Strategy Headquarters, Government of Japan</t>
        </is>
      </c>
      <c r="G77" s="60" t="inlineStr">
        <is>
          <t>https://www.cas.go.jp/jp/seisakukaigi/titeki2/</t>
        </is>
      </c>
      <c r="H77" s="60" t="inlineStr">
        <is>
          <t>https://www.cas.go.jp/jp/seisakukaigi/titeki2/</t>
        </is>
      </c>
      <c r="I77" s="76" t="n">
        <v>5</v>
      </c>
      <c r="J77" s="60" t="inlineStr">
        <is>
          <t>No</t>
        </is>
      </c>
      <c r="K77" s="60" t="inlineStr">
        <is>
          <t>Official Japanese intellectual-property strategy and policy updates.</t>
        </is>
      </c>
    </row>
    <row r="78" ht="36" customHeight="1">
      <c r="A78" s="60" t="inlineStr">
        <is>
          <t>Yes</t>
        </is>
      </c>
      <c r="B78" s="60" t="inlineStr">
        <is>
          <t>Asia</t>
        </is>
      </c>
      <c r="C78" s="60" t="inlineStr">
        <is>
          <t>Japan</t>
        </is>
      </c>
      <c r="D78" s="60" t="inlineStr">
        <is>
          <t>Science, technology and innovation policy research</t>
        </is>
      </c>
      <c r="E78" s="60" t="inlineStr">
        <is>
          <t>JST CRDS STI Policy Reports</t>
        </is>
      </c>
      <c r="F78" s="60" t="inlineStr">
        <is>
          <t>JST Center for Research and Development Strategy</t>
        </is>
      </c>
      <c r="G78" s="60" t="inlineStr">
        <is>
          <t>https://www.jst.go.jp/crds/report/by-category/05/index.html</t>
        </is>
      </c>
      <c r="H78" s="60" t="inlineStr">
        <is>
          <t>https://www.jst.go.jp/crds/</t>
        </is>
      </c>
      <c r="I78" s="76" t="n">
        <v>5</v>
      </c>
      <c r="J78" s="60" t="inlineStr">
        <is>
          <t>No</t>
        </is>
      </c>
      <c r="K78" s="60" t="inlineStr">
        <is>
          <t>Official Japanese public-policy research reports from JST CRDS.</t>
        </is>
      </c>
    </row>
    <row r="79" ht="36" customHeight="1">
      <c r="A79" s="60" t="inlineStr">
        <is>
          <t>Yes</t>
        </is>
      </c>
      <c r="B79" s="60" t="inlineStr">
        <is>
          <t>United States</t>
        </is>
      </c>
      <c r="C79" s="60" t="inlineStr">
        <is>
          <t>United States</t>
        </is>
      </c>
      <c r="D79" s="60" t="inlineStr">
        <is>
          <t>Science, technology and research policy</t>
        </is>
      </c>
      <c r="E79" s="60" t="inlineStr">
        <is>
          <t>White House OSTP News</t>
        </is>
      </c>
      <c r="F79" s="60" t="inlineStr">
        <is>
          <t>White House Office of Science and Technology Policy</t>
        </is>
      </c>
      <c r="G79" s="60" t="inlineStr">
        <is>
          <t>https://www.whitehouse.gov/ostp/news/</t>
        </is>
      </c>
      <c r="H79" s="60" t="inlineStr">
        <is>
          <t>https://www.whitehouse.gov/ostp/</t>
        </is>
      </c>
      <c r="I79" s="76" t="n">
        <v>5</v>
      </c>
      <c r="J79" s="60" t="inlineStr">
        <is>
          <t>No</t>
        </is>
      </c>
      <c r="K79" s="60" t="inlineStr">
        <is>
          <t>Official U.S. science and technology policy releases.</t>
        </is>
      </c>
    </row>
    <row r="80" ht="36" customHeight="1">
      <c r="A80" s="60" t="inlineStr">
        <is>
          <t>Yes</t>
        </is>
      </c>
      <c r="B80" s="60" t="inlineStr">
        <is>
          <t>Global</t>
        </is>
      </c>
      <c r="C80" s="60" t="inlineStr">
        <is>
          <t>Global</t>
        </is>
      </c>
      <c r="D80" s="60" t="inlineStr">
        <is>
          <t>Patents, intellectual property and innovation policy</t>
        </is>
      </c>
      <c r="E80" s="60" t="inlineStr">
        <is>
          <t>WIPO News</t>
        </is>
      </c>
      <c r="F80" s="60" t="inlineStr">
        <is>
          <t>World Intellectual Property Organization</t>
        </is>
      </c>
      <c r="G80" s="60" t="inlineStr">
        <is>
          <t>https://www.wipo.int/pressroom/en/articles/archive.html</t>
        </is>
      </c>
      <c r="H80" s="60" t="inlineStr">
        <is>
          <t>https://www.wipo.int/pressroom/en/</t>
        </is>
      </c>
      <c r="I80" s="76" t="n">
        <v>5</v>
      </c>
      <c r="J80" s="60" t="inlineStr">
        <is>
          <t>No</t>
        </is>
      </c>
      <c r="K80" s="60" t="inlineStr">
        <is>
          <t>Official WIPO news on patents, intellectual property and innovation policy.</t>
        </is>
      </c>
    </row>
    <row r="81" ht="36" customHeight="1">
      <c r="A81" s="60" t="inlineStr">
        <is>
          <t>Yes</t>
        </is>
      </c>
      <c r="B81" s="60" t="inlineStr">
        <is>
          <t>EU &amp; Europe</t>
        </is>
      </c>
      <c r="C81" s="60" t="inlineStr">
        <is>
          <t>European Patent Organisation</t>
        </is>
      </c>
      <c r="D81" s="60" t="inlineStr">
        <is>
          <t>Patent policy, examination and technology transfer</t>
        </is>
      </c>
      <c r="E81" s="60" t="inlineStr">
        <is>
          <t>European Patent Office News</t>
        </is>
      </c>
      <c r="F81" s="60" t="inlineStr">
        <is>
          <t>European Patent Office</t>
        </is>
      </c>
      <c r="G81" s="60" t="inlineStr">
        <is>
          <t>https://www.epo.org/en/news-events/news/feed</t>
        </is>
      </c>
      <c r="H81" s="60" t="inlineStr">
        <is>
          <t>https://www.epo.org/en/news-events/news</t>
        </is>
      </c>
      <c r="I81" s="76" t="n">
        <v>5</v>
      </c>
      <c r="J81" s="60" t="inlineStr">
        <is>
          <t>Yes</t>
        </is>
      </c>
      <c r="K81" s="60" t="inlineStr">
        <is>
          <t>Official EPO news and patent-system policy updates.</t>
        </is>
      </c>
    </row>
    <row r="82" ht="36" customHeight="1">
      <c r="A82" s="60" t="inlineStr">
        <is>
          <t>Yes</t>
        </is>
      </c>
      <c r="B82" s="60" t="inlineStr">
        <is>
          <t>United States</t>
        </is>
      </c>
      <c r="C82" s="60" t="inlineStr">
        <is>
          <t>United States</t>
        </is>
      </c>
      <c r="D82" s="60" t="inlineStr">
        <is>
          <t>Research and development tax policy and incentives</t>
        </is>
      </c>
      <c r="E82" s="60" t="inlineStr">
        <is>
          <t>U.S. Treasury R&amp;D Tax Policy</t>
        </is>
      </c>
      <c r="F82" s="60" t="inlineStr">
        <is>
          <t>U.S. Department of the Treasury</t>
        </is>
      </c>
      <c r="G82" s="60" t="inlineStr">
        <is>
          <t>https://home.treasury.gov/news/press-releases</t>
        </is>
      </c>
      <c r="H82" s="60" t="inlineStr">
        <is>
          <t>https://home.treasury.gov/news/press-releases</t>
        </is>
      </c>
      <c r="I82" s="76" t="n">
        <v>5</v>
      </c>
      <c r="J82" s="60" t="inlineStr">
        <is>
          <t>No</t>
        </is>
      </c>
      <c r="K82" s="60" t="inlineStr">
        <is>
          <t>Official U.S. Treasury releases; R&amp;D and research-tax measures are selected by the policy filter.</t>
        </is>
      </c>
    </row>
    <row r="83" ht="36" customHeight="1">
      <c r="A83" s="60" t="inlineStr">
        <is>
          <t>Yes</t>
        </is>
      </c>
      <c r="B83" s="60" t="inlineStr">
        <is>
          <t>Asia</t>
        </is>
      </c>
      <c r="C83" s="60" t="inlineStr">
        <is>
          <t>China</t>
        </is>
      </c>
      <c r="D83" s="60" t="inlineStr">
        <is>
          <t>National science, technology, industrial and innovation policy</t>
        </is>
      </c>
      <c r="E83" s="60" t="inlineStr">
        <is>
          <t>China State Council Innovation Policies</t>
        </is>
      </c>
      <c r="F83" s="60" t="inlineStr">
        <is>
          <t>State Council of the People's Republic of China</t>
        </is>
      </c>
      <c r="G83" s="60" t="inlineStr">
        <is>
          <t>https://english.www.gov.cn/policies/</t>
        </is>
      </c>
      <c r="H83" s="60" t="inlineStr">
        <is>
          <t>https://english.www.gov.cn/policies/</t>
        </is>
      </c>
      <c r="I83" s="76" t="n">
        <v>5</v>
      </c>
      <c r="J83" s="60" t="inlineStr">
        <is>
          <t>No</t>
        </is>
      </c>
      <c r="K83" s="60" t="inlineStr">
        <is>
          <t>Official English-language State Council policy listing.</t>
        </is>
      </c>
    </row>
    <row r="84" ht="36" customHeight="1">
      <c r="A84" s="60" t="inlineStr">
        <is>
          <t>Yes</t>
        </is>
      </c>
      <c r="B84" s="60" t="inlineStr">
        <is>
          <t>Asia</t>
        </is>
      </c>
      <c r="C84" s="60" t="inlineStr">
        <is>
          <t>South Korea</t>
        </is>
      </c>
      <c r="D84" s="60" t="inlineStr">
        <is>
          <t>Science, technology, AI, R&amp;D funding and national innovation policy</t>
        </is>
      </c>
      <c r="E84" s="60" t="inlineStr">
        <is>
          <t>Korea MSIT Press Releases</t>
        </is>
      </c>
      <c r="F84" s="60" t="inlineStr">
        <is>
          <t>Ministry of Science and ICT</t>
        </is>
      </c>
      <c r="G84" s="60" t="inlineStr">
        <is>
          <t>https://www.msit.go.kr/eng/bbs/list.do?mId=4&amp;mPid=2&amp;sCode=eng</t>
        </is>
      </c>
      <c r="H84" s="60" t="inlineStr">
        <is>
          <t>https://www.msit.go.kr/eng/</t>
        </is>
      </c>
      <c r="I84" s="76" t="n">
        <v>5</v>
      </c>
      <c r="J84" s="60" t="inlineStr">
        <is>
          <t>No</t>
        </is>
      </c>
      <c r="K84" s="60" t="inlineStr">
        <is>
          <t>Official Korean science, technology and ICT policy releases.</t>
        </is>
      </c>
    </row>
    <row r="85" ht="36" customHeight="1">
      <c r="A85" s="60" t="inlineStr">
        <is>
          <t>Yes</t>
        </is>
      </c>
      <c r="B85" s="60" t="inlineStr">
        <is>
          <t>EU &amp; Europe</t>
        </is>
      </c>
      <c r="C85" s="60" t="inlineStr">
        <is>
          <t>European Union</t>
        </is>
      </c>
      <c r="D85" s="60" t="inlineStr">
        <is>
          <t>Deep-tech R&amp;D funding, commercialization and innovation policy</t>
        </is>
      </c>
      <c r="E85" s="60" t="inlineStr">
        <is>
          <t>European Innovation Council News</t>
        </is>
      </c>
      <c r="F85" s="60" t="inlineStr">
        <is>
          <t>European Innovation Council</t>
        </is>
      </c>
      <c r="G85" s="60" t="inlineStr">
        <is>
          <t>https://eic.ec.europa.eu/news_en</t>
        </is>
      </c>
      <c r="H85" s="60" t="inlineStr">
        <is>
          <t>https://eic.ec.europa.eu/news_en</t>
        </is>
      </c>
      <c r="I85" s="76" t="n">
        <v>5</v>
      </c>
      <c r="J85" s="60" t="inlineStr">
        <is>
          <t>No</t>
        </is>
      </c>
      <c r="K85" s="60" t="inlineStr">
        <is>
          <t>Official EIC funding, work-programme and deep-tech policy updates.</t>
        </is>
      </c>
    </row>
    <row r="86" ht="36" customHeight="1">
      <c r="A86" s="60" t="inlineStr">
        <is>
          <t>Yes</t>
        </is>
      </c>
      <c r="B86" s="60" t="inlineStr">
        <is>
          <t>Middle East</t>
        </is>
      </c>
      <c r="C86" s="60" t="inlineStr">
        <is>
          <t>United Arab Emirates</t>
        </is>
      </c>
      <c r="D86" s="60" t="inlineStr">
        <is>
          <t>AI, quantum, autonomous systems and national R&amp;D programs</t>
        </is>
      </c>
      <c r="E86" s="60" t="inlineStr">
        <is>
          <t>UAE Advanced Technology Research Council</t>
        </is>
      </c>
      <c r="F86" s="60" t="inlineStr">
        <is>
          <t>Advanced Technology Research Council</t>
        </is>
      </c>
      <c r="G86" s="60" t="inlineStr">
        <is>
          <t>https://www.atrc.gov.ae/news</t>
        </is>
      </c>
      <c r="H86" s="60" t="inlineStr">
        <is>
          <t>https://www.atrc.gov.ae/news</t>
        </is>
      </c>
      <c r="I86" s="76" t="n">
        <v>5</v>
      </c>
      <c r="J86" s="60" t="inlineStr">
        <is>
          <t>No</t>
        </is>
      </c>
      <c r="K86" s="60" t="inlineStr">
        <is>
          <t>Official Abu Dhabi advanced-technology R&amp;D authority.</t>
        </is>
      </c>
    </row>
    <row r="87" ht="36" customHeight="1">
      <c r="A87" s="60" t="inlineStr">
        <is>
          <t>Yes</t>
        </is>
      </c>
      <c r="B87" s="60" t="inlineStr">
        <is>
          <t>Middle East</t>
        </is>
      </c>
      <c r="C87" s="60" t="inlineStr">
        <is>
          <t>Saudi Arabia</t>
        </is>
      </c>
      <c r="D87" s="60" t="inlineStr">
        <is>
          <t>National research, development, innovation funding and infrastructure</t>
        </is>
      </c>
      <c r="E87" s="60" t="inlineStr">
        <is>
          <t>Saudi Research, Development and Innovation Authority</t>
        </is>
      </c>
      <c r="F87" s="60" t="inlineStr">
        <is>
          <t>Research, Development and Innovation Authority</t>
        </is>
      </c>
      <c r="G87" s="60" t="inlineStr">
        <is>
          <t>https://www.rdia.gov.sa/en/media-center/news/</t>
        </is>
      </c>
      <c r="H87" s="60" t="inlineStr">
        <is>
          <t>https://www.rdia.gov.sa/en/</t>
        </is>
      </c>
      <c r="I87" s="76" t="n">
        <v>5</v>
      </c>
      <c r="J87" s="60" t="inlineStr">
        <is>
          <t>No</t>
        </is>
      </c>
      <c r="K87" s="60" t="inlineStr">
        <is>
          <t>Official Saudi R&amp;D and innovation authority.</t>
        </is>
      </c>
    </row>
    <row r="88" ht="36" customHeight="1">
      <c r="A88" s="60" t="inlineStr">
        <is>
          <t>Yes</t>
        </is>
      </c>
      <c r="B88" s="60" t="inlineStr">
        <is>
          <t>Middle East</t>
        </is>
      </c>
      <c r="C88" s="60" t="inlineStr">
        <is>
          <t>Israel</t>
        </is>
      </c>
      <c r="D88" s="60" t="inlineStr">
        <is>
          <t>R&amp;D funding, technology commercialization and national innovation programs</t>
        </is>
      </c>
      <c r="E88" s="60" t="inlineStr">
        <is>
          <t>Israel Innovation Authority</t>
        </is>
      </c>
      <c r="F88" s="60" t="inlineStr">
        <is>
          <t>Israel Innovation Authority</t>
        </is>
      </c>
      <c r="G88" s="60" t="inlineStr">
        <is>
          <t>https://innovationisrael.org.il/en/press_release/</t>
        </is>
      </c>
      <c r="H88" s="60" t="inlineStr">
        <is>
          <t>https://innovationisrael.org.il/en/press_release/</t>
        </is>
      </c>
      <c r="I88" s="76" t="n">
        <v>5</v>
      </c>
      <c r="J88" s="60" t="inlineStr">
        <is>
          <t>No</t>
        </is>
      </c>
      <c r="K88" s="60" t="inlineStr">
        <is>
          <t>Official national innovation and industrial R&amp;D funding authority.</t>
        </is>
      </c>
    </row>
    <row r="89" ht="36" customHeight="1">
      <c r="A89" s="60" t="inlineStr">
        <is>
          <t>Yes</t>
        </is>
      </c>
      <c r="B89" s="60" t="inlineStr">
        <is>
          <t>Middle East</t>
        </is>
      </c>
      <c r="C89" s="60" t="inlineStr">
        <is>
          <t>United Arab Emirates</t>
        </is>
      </c>
      <c r="D89" s="60" t="inlineStr">
        <is>
          <t>Advanced technology, industrial policy and technology adoption</t>
        </is>
      </c>
      <c r="E89" s="60" t="inlineStr">
        <is>
          <t>UAE Ministry of Industry and Advanced Technology</t>
        </is>
      </c>
      <c r="F89" s="60" t="inlineStr">
        <is>
          <t>Ministry of Industry and Advanced Technology</t>
        </is>
      </c>
      <c r="G89" s="60" t="inlineStr">
        <is>
          <t>https://moiat.gov.ae/en/media-center/news</t>
        </is>
      </c>
      <c r="H89" s="60" t="inlineStr">
        <is>
          <t>https://moiat.gov.ae/en/media-center/news</t>
        </is>
      </c>
      <c r="I89" s="76" t="n">
        <v>4</v>
      </c>
      <c r="J89" s="60" t="inlineStr">
        <is>
          <t>No</t>
        </is>
      </c>
      <c r="K89" s="60" t="inlineStr">
        <is>
          <t>Official UAE advanced-technology and industrial-policy news.</t>
        </is>
      </c>
    </row>
    <row r="90" ht="36" customHeight="1">
      <c r="A90" s="60" t="inlineStr">
        <is>
          <t>Yes</t>
        </is>
      </c>
      <c r="B90" s="60" t="inlineStr">
        <is>
          <t>Global</t>
        </is>
      </c>
      <c r="C90" s="60" t="inlineStr">
        <is>
          <t>Global</t>
        </is>
      </c>
      <c r="D90" s="60" t="inlineStr">
        <is>
          <t>Scholarly research</t>
        </is>
      </c>
      <c r="E90" s="60" t="inlineStr">
        <is>
          <t>OpenAlex Journal Articles</t>
        </is>
      </c>
      <c r="F90" s="60" t="inlineStr">
        <is>
          <t>OpenAlex</t>
        </is>
      </c>
      <c r="G90" s="60" t="inlineStr">
        <is>
          <t>https://api.openalex.org/works</t>
        </is>
      </c>
      <c r="H90" s="60" t="inlineStr">
        <is>
          <t>https://openalex.org/</t>
        </is>
      </c>
      <c r="I90" s="76" t="n">
        <v>4</v>
      </c>
      <c r="J90" s="60" t="inlineStr">
        <is>
          <t>No</t>
        </is>
      </c>
      <c r="K90" s="60" t="inlineStr">
        <is>
          <t>Scholarly metadata discovery. The card links to the DOI or OpenAlex record; peer-review status must be confirmed on the publisher page.</t>
        </is>
      </c>
    </row>
    <row r="91" ht="36" customHeight="1">
      <c r="A91" s="60" t="inlineStr">
        <is>
          <t>Yes</t>
        </is>
      </c>
      <c r="B91" s="60" t="inlineStr">
        <is>
          <t>Global</t>
        </is>
      </c>
      <c r="C91" s="60" t="inlineStr">
        <is>
          <t>Global</t>
        </is>
      </c>
      <c r="D91" s="60" t="inlineStr">
        <is>
          <t>Conference proceedings</t>
        </is>
      </c>
      <c r="E91" s="60" t="inlineStr">
        <is>
          <t>OpenAlex Conference Papers</t>
        </is>
      </c>
      <c r="F91" s="60" t="inlineStr">
        <is>
          <t>OpenAlex</t>
        </is>
      </c>
      <c r="G91" s="60" t="inlineStr">
        <is>
          <t>https://api.openalex.org/works</t>
        </is>
      </c>
      <c r="H91" s="60" t="inlineStr">
        <is>
          <t>https://openalex.org/</t>
        </is>
      </c>
      <c r="I91" s="76" t="n">
        <v>4</v>
      </c>
      <c r="J91" s="60" t="inlineStr">
        <is>
          <t>No</t>
        </is>
      </c>
      <c r="K91" s="60" t="inlineStr">
        <is>
          <t>Official proceedings and conference-paper records discovered through OpenAlex. Review status varies by venue.</t>
        </is>
      </c>
    </row>
    <row r="92" ht="36" customHeight="1">
      <c r="A92" s="60" t="inlineStr">
        <is>
          <t>Yes</t>
        </is>
      </c>
      <c r="B92" s="60" t="inlineStr">
        <is>
          <t>Global</t>
        </is>
      </c>
      <c r="C92" s="60" t="inlineStr">
        <is>
          <t>Global</t>
        </is>
      </c>
      <c r="D92" s="60" t="inlineStr">
        <is>
          <t>Preprints</t>
        </is>
      </c>
      <c r="E92" s="60" t="inlineStr">
        <is>
          <t>OpenAlex Preprints</t>
        </is>
      </c>
      <c r="F92" s="60" t="inlineStr">
        <is>
          <t>OpenAlex</t>
        </is>
      </c>
      <c r="G92" s="60" t="inlineStr">
        <is>
          <t>https://api.openalex.org/works</t>
        </is>
      </c>
      <c r="H92" s="60" t="inlineStr">
        <is>
          <t>https://openalex.org/</t>
        </is>
      </c>
      <c r="I92" s="76" t="n">
        <v>3</v>
      </c>
      <c r="J92" s="60" t="inlineStr">
        <is>
          <t>No</t>
        </is>
      </c>
      <c r="K92" s="60" t="inlineStr">
        <is>
          <t>Preprints are displayed separately and must never be described as peer reviewed.</t>
        </is>
      </c>
    </row>
  </sheetData>
  <autoFilter ref="A3:K92"/>
  <mergeCells count="2">
    <mergeCell ref="A2:K2"/>
    <mergeCell ref="A1:K1"/>
  </mergeCells>
  <dataValidations count="1">
    <dataValidation sqref="A4:A37" showDropDown="0" showInputMessage="0" showErrorMessage="0" allowBlank="0" type="list">
      <formula1>"Yes,No"</formula1>
    </dataValidation>
  </dataValidations>
  <hyperlinks>
    <hyperlink xmlns:r="http://schemas.openxmlformats.org/officeDocument/2006/relationships" ref="G4" r:id="rId1"/>
    <hyperlink xmlns:r="http://schemas.openxmlformats.org/officeDocument/2006/relationships" ref="H4" r:id="rId2"/>
    <hyperlink xmlns:r="http://schemas.openxmlformats.org/officeDocument/2006/relationships" ref="G5" r:id="rId3"/>
    <hyperlink xmlns:r="http://schemas.openxmlformats.org/officeDocument/2006/relationships" ref="H5" r:id="rId4"/>
    <hyperlink xmlns:r="http://schemas.openxmlformats.org/officeDocument/2006/relationships" ref="G6" r:id="rId5"/>
    <hyperlink xmlns:r="http://schemas.openxmlformats.org/officeDocument/2006/relationships" ref="H6" r:id="rId6"/>
    <hyperlink xmlns:r="http://schemas.openxmlformats.org/officeDocument/2006/relationships" ref="G7" r:id="rId7"/>
    <hyperlink xmlns:r="http://schemas.openxmlformats.org/officeDocument/2006/relationships" ref="H7" r:id="rId8"/>
    <hyperlink xmlns:r="http://schemas.openxmlformats.org/officeDocument/2006/relationships" ref="G8" r:id="rId9"/>
    <hyperlink xmlns:r="http://schemas.openxmlformats.org/officeDocument/2006/relationships" ref="H8" r:id="rId10"/>
    <hyperlink xmlns:r="http://schemas.openxmlformats.org/officeDocument/2006/relationships" ref="G9" r:id="rId11"/>
    <hyperlink xmlns:r="http://schemas.openxmlformats.org/officeDocument/2006/relationships" ref="H9" r:id="rId12"/>
    <hyperlink xmlns:r="http://schemas.openxmlformats.org/officeDocument/2006/relationships" ref="G10" r:id="rId13"/>
    <hyperlink xmlns:r="http://schemas.openxmlformats.org/officeDocument/2006/relationships" ref="H10" r:id="rId14"/>
    <hyperlink xmlns:r="http://schemas.openxmlformats.org/officeDocument/2006/relationships" ref="G11" r:id="rId15"/>
    <hyperlink xmlns:r="http://schemas.openxmlformats.org/officeDocument/2006/relationships" ref="H11" r:id="rId16"/>
    <hyperlink xmlns:r="http://schemas.openxmlformats.org/officeDocument/2006/relationships" ref="G12" r:id="rId17"/>
    <hyperlink xmlns:r="http://schemas.openxmlformats.org/officeDocument/2006/relationships" ref="H12" r:id="rId18"/>
    <hyperlink xmlns:r="http://schemas.openxmlformats.org/officeDocument/2006/relationships" ref="G13" r:id="rId19"/>
    <hyperlink xmlns:r="http://schemas.openxmlformats.org/officeDocument/2006/relationships" ref="H13" r:id="rId20"/>
    <hyperlink xmlns:r="http://schemas.openxmlformats.org/officeDocument/2006/relationships" ref="G14" r:id="rId21"/>
    <hyperlink xmlns:r="http://schemas.openxmlformats.org/officeDocument/2006/relationships" ref="H14" r:id="rId22"/>
    <hyperlink xmlns:r="http://schemas.openxmlformats.org/officeDocument/2006/relationships" ref="G15" r:id="rId23"/>
    <hyperlink xmlns:r="http://schemas.openxmlformats.org/officeDocument/2006/relationships" ref="H15" r:id="rId24"/>
    <hyperlink xmlns:r="http://schemas.openxmlformats.org/officeDocument/2006/relationships" ref="G16" r:id="rId25"/>
    <hyperlink xmlns:r="http://schemas.openxmlformats.org/officeDocument/2006/relationships" ref="H16" r:id="rId26"/>
    <hyperlink xmlns:r="http://schemas.openxmlformats.org/officeDocument/2006/relationships" ref="G17" r:id="rId27"/>
    <hyperlink xmlns:r="http://schemas.openxmlformats.org/officeDocument/2006/relationships" ref="H17" r:id="rId28"/>
    <hyperlink xmlns:r="http://schemas.openxmlformats.org/officeDocument/2006/relationships" ref="G18" r:id="rId29"/>
    <hyperlink xmlns:r="http://schemas.openxmlformats.org/officeDocument/2006/relationships" ref="H18" r:id="rId30"/>
    <hyperlink xmlns:r="http://schemas.openxmlformats.org/officeDocument/2006/relationships" ref="G19" r:id="rId31"/>
    <hyperlink xmlns:r="http://schemas.openxmlformats.org/officeDocument/2006/relationships" ref="H19" r:id="rId32"/>
    <hyperlink xmlns:r="http://schemas.openxmlformats.org/officeDocument/2006/relationships" ref="G20" r:id="rId33"/>
    <hyperlink xmlns:r="http://schemas.openxmlformats.org/officeDocument/2006/relationships" ref="H20" r:id="rId34"/>
    <hyperlink xmlns:r="http://schemas.openxmlformats.org/officeDocument/2006/relationships" ref="G21" r:id="rId35"/>
    <hyperlink xmlns:r="http://schemas.openxmlformats.org/officeDocument/2006/relationships" ref="H21" r:id="rId36"/>
    <hyperlink xmlns:r="http://schemas.openxmlformats.org/officeDocument/2006/relationships" ref="G22" r:id="rId37"/>
    <hyperlink xmlns:r="http://schemas.openxmlformats.org/officeDocument/2006/relationships" ref="H22" r:id="rId38"/>
    <hyperlink xmlns:r="http://schemas.openxmlformats.org/officeDocument/2006/relationships" ref="G23" r:id="rId39"/>
    <hyperlink xmlns:r="http://schemas.openxmlformats.org/officeDocument/2006/relationships" ref="H23" r:id="rId40"/>
    <hyperlink xmlns:r="http://schemas.openxmlformats.org/officeDocument/2006/relationships" ref="G24" r:id="rId41"/>
    <hyperlink xmlns:r="http://schemas.openxmlformats.org/officeDocument/2006/relationships" ref="H24" r:id="rId42"/>
    <hyperlink xmlns:r="http://schemas.openxmlformats.org/officeDocument/2006/relationships" ref="G25" r:id="rId43"/>
    <hyperlink xmlns:r="http://schemas.openxmlformats.org/officeDocument/2006/relationships" ref="H25" r:id="rId44"/>
    <hyperlink xmlns:r="http://schemas.openxmlformats.org/officeDocument/2006/relationships" ref="G26" r:id="rId45"/>
    <hyperlink xmlns:r="http://schemas.openxmlformats.org/officeDocument/2006/relationships" ref="H26" r:id="rId46"/>
    <hyperlink xmlns:r="http://schemas.openxmlformats.org/officeDocument/2006/relationships" ref="G27" r:id="rId47"/>
    <hyperlink xmlns:r="http://schemas.openxmlformats.org/officeDocument/2006/relationships" ref="H27" r:id="rId48"/>
    <hyperlink xmlns:r="http://schemas.openxmlformats.org/officeDocument/2006/relationships" ref="G28" r:id="rId49"/>
    <hyperlink xmlns:r="http://schemas.openxmlformats.org/officeDocument/2006/relationships" ref="H28" r:id="rId50"/>
    <hyperlink xmlns:r="http://schemas.openxmlformats.org/officeDocument/2006/relationships" ref="G29" r:id="rId51"/>
    <hyperlink xmlns:r="http://schemas.openxmlformats.org/officeDocument/2006/relationships" ref="H29" r:id="rId52"/>
    <hyperlink xmlns:r="http://schemas.openxmlformats.org/officeDocument/2006/relationships" ref="G30" r:id="rId53"/>
    <hyperlink xmlns:r="http://schemas.openxmlformats.org/officeDocument/2006/relationships" ref="H30" r:id="rId54"/>
    <hyperlink xmlns:r="http://schemas.openxmlformats.org/officeDocument/2006/relationships" ref="G31" r:id="rId55"/>
    <hyperlink xmlns:r="http://schemas.openxmlformats.org/officeDocument/2006/relationships" ref="H31" r:id="rId56"/>
    <hyperlink xmlns:r="http://schemas.openxmlformats.org/officeDocument/2006/relationships" ref="G32" r:id="rId57"/>
    <hyperlink xmlns:r="http://schemas.openxmlformats.org/officeDocument/2006/relationships" ref="H32" r:id="rId58"/>
    <hyperlink xmlns:r="http://schemas.openxmlformats.org/officeDocument/2006/relationships" ref="G33" r:id="rId59"/>
    <hyperlink xmlns:r="http://schemas.openxmlformats.org/officeDocument/2006/relationships" ref="H33" r:id="rId60"/>
    <hyperlink xmlns:r="http://schemas.openxmlformats.org/officeDocument/2006/relationships" ref="G34" r:id="rId61"/>
    <hyperlink xmlns:r="http://schemas.openxmlformats.org/officeDocument/2006/relationships" ref="H34" r:id="rId62"/>
    <hyperlink xmlns:r="http://schemas.openxmlformats.org/officeDocument/2006/relationships" ref="G35" r:id="rId63"/>
    <hyperlink xmlns:r="http://schemas.openxmlformats.org/officeDocument/2006/relationships" ref="H35" r:id="rId64"/>
    <hyperlink xmlns:r="http://schemas.openxmlformats.org/officeDocument/2006/relationships" ref="G36" r:id="rId65"/>
    <hyperlink xmlns:r="http://schemas.openxmlformats.org/officeDocument/2006/relationships" ref="H36" r:id="rId66"/>
    <hyperlink xmlns:r="http://schemas.openxmlformats.org/officeDocument/2006/relationships" ref="G37" r:id="rId67"/>
    <hyperlink xmlns:r="http://schemas.openxmlformats.org/officeDocument/2006/relationships" ref="H37" r:id="rId68"/>
    <hyperlink xmlns:r="http://schemas.openxmlformats.org/officeDocument/2006/relationships" ref="G38" r:id="rId69"/>
    <hyperlink xmlns:r="http://schemas.openxmlformats.org/officeDocument/2006/relationships" ref="H38" r:id="rId70"/>
    <hyperlink xmlns:r="http://schemas.openxmlformats.org/officeDocument/2006/relationships" ref="G39" r:id="rId71"/>
    <hyperlink xmlns:r="http://schemas.openxmlformats.org/officeDocument/2006/relationships" ref="H39" r:id="rId72"/>
    <hyperlink xmlns:r="http://schemas.openxmlformats.org/officeDocument/2006/relationships" ref="G40" r:id="rId73"/>
    <hyperlink xmlns:r="http://schemas.openxmlformats.org/officeDocument/2006/relationships" ref="H40" r:id="rId74"/>
    <hyperlink xmlns:r="http://schemas.openxmlformats.org/officeDocument/2006/relationships" ref="G41" r:id="rId75"/>
    <hyperlink xmlns:r="http://schemas.openxmlformats.org/officeDocument/2006/relationships" ref="H41" r:id="rId76"/>
    <hyperlink xmlns:r="http://schemas.openxmlformats.org/officeDocument/2006/relationships" ref="G42" r:id="rId77"/>
    <hyperlink xmlns:r="http://schemas.openxmlformats.org/officeDocument/2006/relationships" ref="H42" r:id="rId78"/>
    <hyperlink xmlns:r="http://schemas.openxmlformats.org/officeDocument/2006/relationships" ref="G43" r:id="rId79"/>
    <hyperlink xmlns:r="http://schemas.openxmlformats.org/officeDocument/2006/relationships" ref="H43" r:id="rId80"/>
    <hyperlink xmlns:r="http://schemas.openxmlformats.org/officeDocument/2006/relationships" ref="G44" r:id="rId81"/>
    <hyperlink xmlns:r="http://schemas.openxmlformats.org/officeDocument/2006/relationships" ref="H44" r:id="rId82"/>
    <hyperlink xmlns:r="http://schemas.openxmlformats.org/officeDocument/2006/relationships" ref="G45" r:id="rId83"/>
    <hyperlink xmlns:r="http://schemas.openxmlformats.org/officeDocument/2006/relationships" ref="H45" r:id="rId84"/>
    <hyperlink xmlns:r="http://schemas.openxmlformats.org/officeDocument/2006/relationships" ref="G46" r:id="rId85"/>
    <hyperlink xmlns:r="http://schemas.openxmlformats.org/officeDocument/2006/relationships" ref="H46" r:id="rId86"/>
    <hyperlink xmlns:r="http://schemas.openxmlformats.org/officeDocument/2006/relationships" ref="G47" r:id="rId87"/>
    <hyperlink xmlns:r="http://schemas.openxmlformats.org/officeDocument/2006/relationships" ref="H47" r:id="rId88"/>
    <hyperlink xmlns:r="http://schemas.openxmlformats.org/officeDocument/2006/relationships" ref="G48" r:id="rId89"/>
    <hyperlink xmlns:r="http://schemas.openxmlformats.org/officeDocument/2006/relationships" ref="H48" r:id="rId90"/>
    <hyperlink xmlns:r="http://schemas.openxmlformats.org/officeDocument/2006/relationships" ref="G49" r:id="rId91"/>
    <hyperlink xmlns:r="http://schemas.openxmlformats.org/officeDocument/2006/relationships" ref="H49" r:id="rId92"/>
    <hyperlink xmlns:r="http://schemas.openxmlformats.org/officeDocument/2006/relationships" ref="G50" r:id="rId93"/>
    <hyperlink xmlns:r="http://schemas.openxmlformats.org/officeDocument/2006/relationships" ref="H50" r:id="rId94"/>
    <hyperlink xmlns:r="http://schemas.openxmlformats.org/officeDocument/2006/relationships" ref="G51" r:id="rId95"/>
    <hyperlink xmlns:r="http://schemas.openxmlformats.org/officeDocument/2006/relationships" ref="H51" r:id="rId96"/>
    <hyperlink xmlns:r="http://schemas.openxmlformats.org/officeDocument/2006/relationships" ref="G52" r:id="rId97"/>
    <hyperlink xmlns:r="http://schemas.openxmlformats.org/officeDocument/2006/relationships" ref="H52" r:id="rId98"/>
    <hyperlink xmlns:r="http://schemas.openxmlformats.org/officeDocument/2006/relationships" ref="G53" r:id="rId99"/>
    <hyperlink xmlns:r="http://schemas.openxmlformats.org/officeDocument/2006/relationships" ref="H53" r:id="rId100"/>
    <hyperlink xmlns:r="http://schemas.openxmlformats.org/officeDocument/2006/relationships" ref="G54" r:id="rId101"/>
    <hyperlink xmlns:r="http://schemas.openxmlformats.org/officeDocument/2006/relationships" ref="H54" r:id="rId102"/>
    <hyperlink xmlns:r="http://schemas.openxmlformats.org/officeDocument/2006/relationships" ref="G55" r:id="rId103"/>
    <hyperlink xmlns:r="http://schemas.openxmlformats.org/officeDocument/2006/relationships" ref="H55" r:id="rId104"/>
    <hyperlink xmlns:r="http://schemas.openxmlformats.org/officeDocument/2006/relationships" ref="G56" r:id="rId105"/>
    <hyperlink xmlns:r="http://schemas.openxmlformats.org/officeDocument/2006/relationships" ref="H56" r:id="rId106"/>
    <hyperlink xmlns:r="http://schemas.openxmlformats.org/officeDocument/2006/relationships" ref="G57" r:id="rId107"/>
    <hyperlink xmlns:r="http://schemas.openxmlformats.org/officeDocument/2006/relationships" ref="H57" r:id="rId108"/>
    <hyperlink xmlns:r="http://schemas.openxmlformats.org/officeDocument/2006/relationships" ref="G58" r:id="rId109"/>
    <hyperlink xmlns:r="http://schemas.openxmlformats.org/officeDocument/2006/relationships" ref="H58" r:id="rId110"/>
    <hyperlink xmlns:r="http://schemas.openxmlformats.org/officeDocument/2006/relationships" ref="G59" r:id="rId111"/>
    <hyperlink xmlns:r="http://schemas.openxmlformats.org/officeDocument/2006/relationships" ref="H59" r:id="rId112"/>
    <hyperlink xmlns:r="http://schemas.openxmlformats.org/officeDocument/2006/relationships" ref="G60" r:id="rId113"/>
    <hyperlink xmlns:r="http://schemas.openxmlformats.org/officeDocument/2006/relationships" ref="H60" r:id="rId114"/>
    <hyperlink xmlns:r="http://schemas.openxmlformats.org/officeDocument/2006/relationships" ref="G61" r:id="rId115"/>
    <hyperlink xmlns:r="http://schemas.openxmlformats.org/officeDocument/2006/relationships" ref="H61" r:id="rId116"/>
    <hyperlink xmlns:r="http://schemas.openxmlformats.org/officeDocument/2006/relationships" ref="G62" r:id="rId117"/>
    <hyperlink xmlns:r="http://schemas.openxmlformats.org/officeDocument/2006/relationships" ref="H62" r:id="rId118"/>
    <hyperlink xmlns:r="http://schemas.openxmlformats.org/officeDocument/2006/relationships" ref="G63" r:id="rId119"/>
    <hyperlink xmlns:r="http://schemas.openxmlformats.org/officeDocument/2006/relationships" ref="H63" r:id="rId120"/>
    <hyperlink xmlns:r="http://schemas.openxmlformats.org/officeDocument/2006/relationships" ref="G64" r:id="rId121"/>
    <hyperlink xmlns:r="http://schemas.openxmlformats.org/officeDocument/2006/relationships" ref="H64" r:id="rId122"/>
    <hyperlink xmlns:r="http://schemas.openxmlformats.org/officeDocument/2006/relationships" ref="G65" r:id="rId123"/>
    <hyperlink xmlns:r="http://schemas.openxmlformats.org/officeDocument/2006/relationships" ref="H65" r:id="rId124"/>
    <hyperlink xmlns:r="http://schemas.openxmlformats.org/officeDocument/2006/relationships" ref="G66" r:id="rId125"/>
    <hyperlink xmlns:r="http://schemas.openxmlformats.org/officeDocument/2006/relationships" ref="H66" r:id="rId126"/>
    <hyperlink xmlns:r="http://schemas.openxmlformats.org/officeDocument/2006/relationships" ref="G67" r:id="rId127"/>
    <hyperlink xmlns:r="http://schemas.openxmlformats.org/officeDocument/2006/relationships" ref="H67" r:id="rId128"/>
    <hyperlink xmlns:r="http://schemas.openxmlformats.org/officeDocument/2006/relationships" ref="G68" r:id="rId129"/>
    <hyperlink xmlns:r="http://schemas.openxmlformats.org/officeDocument/2006/relationships" ref="H68" r:id="rId130"/>
    <hyperlink xmlns:r="http://schemas.openxmlformats.org/officeDocument/2006/relationships" ref="G69" r:id="rId131"/>
    <hyperlink xmlns:r="http://schemas.openxmlformats.org/officeDocument/2006/relationships" ref="H69" r:id="rId132"/>
    <hyperlink xmlns:r="http://schemas.openxmlformats.org/officeDocument/2006/relationships" ref="G70" r:id="rId133"/>
    <hyperlink xmlns:r="http://schemas.openxmlformats.org/officeDocument/2006/relationships" ref="H70" r:id="rId134"/>
    <hyperlink xmlns:r="http://schemas.openxmlformats.org/officeDocument/2006/relationships" ref="G71" r:id="rId135"/>
    <hyperlink xmlns:r="http://schemas.openxmlformats.org/officeDocument/2006/relationships" ref="H71" r:id="rId136"/>
    <hyperlink xmlns:r="http://schemas.openxmlformats.org/officeDocument/2006/relationships" ref="G72" r:id="rId137"/>
    <hyperlink xmlns:r="http://schemas.openxmlformats.org/officeDocument/2006/relationships" ref="H72" r:id="rId138"/>
    <hyperlink xmlns:r="http://schemas.openxmlformats.org/officeDocument/2006/relationships" ref="G73" r:id="rId139"/>
    <hyperlink xmlns:r="http://schemas.openxmlformats.org/officeDocument/2006/relationships" ref="H73" r:id="rId140"/>
    <hyperlink xmlns:r="http://schemas.openxmlformats.org/officeDocument/2006/relationships" ref="G74" r:id="rId141"/>
    <hyperlink xmlns:r="http://schemas.openxmlformats.org/officeDocument/2006/relationships" ref="H74" r:id="rId142"/>
    <hyperlink xmlns:r="http://schemas.openxmlformats.org/officeDocument/2006/relationships" ref="G75" r:id="rId143"/>
    <hyperlink xmlns:r="http://schemas.openxmlformats.org/officeDocument/2006/relationships" ref="H75" r:id="rId144"/>
    <hyperlink xmlns:r="http://schemas.openxmlformats.org/officeDocument/2006/relationships" ref="G76" r:id="rId145"/>
    <hyperlink xmlns:r="http://schemas.openxmlformats.org/officeDocument/2006/relationships" ref="H76" r:id="rId146"/>
    <hyperlink xmlns:r="http://schemas.openxmlformats.org/officeDocument/2006/relationships" ref="G77" r:id="rId147"/>
    <hyperlink xmlns:r="http://schemas.openxmlformats.org/officeDocument/2006/relationships" ref="H77" r:id="rId148"/>
    <hyperlink xmlns:r="http://schemas.openxmlformats.org/officeDocument/2006/relationships" ref="G78" r:id="rId149"/>
    <hyperlink xmlns:r="http://schemas.openxmlformats.org/officeDocument/2006/relationships" ref="H78" r:id="rId150"/>
    <hyperlink xmlns:r="http://schemas.openxmlformats.org/officeDocument/2006/relationships" ref="G79" r:id="rId151"/>
    <hyperlink xmlns:r="http://schemas.openxmlformats.org/officeDocument/2006/relationships" ref="H79" r:id="rId152"/>
    <hyperlink xmlns:r="http://schemas.openxmlformats.org/officeDocument/2006/relationships" ref="G80" r:id="rId153"/>
    <hyperlink xmlns:r="http://schemas.openxmlformats.org/officeDocument/2006/relationships" ref="H80" r:id="rId154"/>
    <hyperlink xmlns:r="http://schemas.openxmlformats.org/officeDocument/2006/relationships" ref="G81" r:id="rId155"/>
    <hyperlink xmlns:r="http://schemas.openxmlformats.org/officeDocument/2006/relationships" ref="H81" r:id="rId156"/>
    <hyperlink xmlns:r="http://schemas.openxmlformats.org/officeDocument/2006/relationships" ref="G82" r:id="rId157"/>
    <hyperlink xmlns:r="http://schemas.openxmlformats.org/officeDocument/2006/relationships" ref="H82" r:id="rId158"/>
    <hyperlink xmlns:r="http://schemas.openxmlformats.org/officeDocument/2006/relationships" ref="G83" r:id="rId159"/>
    <hyperlink xmlns:r="http://schemas.openxmlformats.org/officeDocument/2006/relationships" ref="H83" r:id="rId160"/>
    <hyperlink xmlns:r="http://schemas.openxmlformats.org/officeDocument/2006/relationships" ref="G84" r:id="rId161"/>
    <hyperlink xmlns:r="http://schemas.openxmlformats.org/officeDocument/2006/relationships" ref="H84" r:id="rId162"/>
    <hyperlink xmlns:r="http://schemas.openxmlformats.org/officeDocument/2006/relationships" ref="G85" r:id="rId163"/>
    <hyperlink xmlns:r="http://schemas.openxmlformats.org/officeDocument/2006/relationships" ref="H85" r:id="rId164"/>
    <hyperlink xmlns:r="http://schemas.openxmlformats.org/officeDocument/2006/relationships" ref="G86" r:id="rId165"/>
    <hyperlink xmlns:r="http://schemas.openxmlformats.org/officeDocument/2006/relationships" ref="H86" r:id="rId166"/>
    <hyperlink xmlns:r="http://schemas.openxmlformats.org/officeDocument/2006/relationships" ref="G87" r:id="rId167"/>
    <hyperlink xmlns:r="http://schemas.openxmlformats.org/officeDocument/2006/relationships" ref="H87" r:id="rId168"/>
    <hyperlink xmlns:r="http://schemas.openxmlformats.org/officeDocument/2006/relationships" ref="G88" r:id="rId169"/>
    <hyperlink xmlns:r="http://schemas.openxmlformats.org/officeDocument/2006/relationships" ref="H88" r:id="rId170"/>
    <hyperlink xmlns:r="http://schemas.openxmlformats.org/officeDocument/2006/relationships" ref="G89" r:id="rId171"/>
    <hyperlink xmlns:r="http://schemas.openxmlformats.org/officeDocument/2006/relationships" ref="H89" r:id="rId172"/>
    <hyperlink xmlns:r="http://schemas.openxmlformats.org/officeDocument/2006/relationships" ref="G90" r:id="rId173"/>
    <hyperlink xmlns:r="http://schemas.openxmlformats.org/officeDocument/2006/relationships" ref="H90" r:id="rId174"/>
    <hyperlink xmlns:r="http://schemas.openxmlformats.org/officeDocument/2006/relationships" ref="G91" r:id="rId175"/>
    <hyperlink xmlns:r="http://schemas.openxmlformats.org/officeDocument/2006/relationships" ref="H91" r:id="rId176"/>
    <hyperlink xmlns:r="http://schemas.openxmlformats.org/officeDocument/2006/relationships" ref="G92" r:id="rId177"/>
    <hyperlink xmlns:r="http://schemas.openxmlformats.org/officeDocument/2006/relationships" ref="H92" r:id="rId178"/>
  </hyperlinks>
  <pageMargins left="0.7" right="0.7" top="0.75" bottom="0.75" header="0.3" footer="0.3"/>
  <tableParts count="1">
    <tablePart xmlns:r="http://schemas.openxmlformats.org/officeDocument/2006/relationships" r:id="rId17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4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 ht="34" customHeight="1">
      <c r="A1" s="4" t="inlineStr">
        <is>
          <t>Run Log</t>
        </is>
      </c>
    </row>
    <row r="2" ht="25" customHeight="1">
      <c r="A2" s="67" t="inlineStr">
        <is>
          <t>Daily collection results; one failed feed never stops the remaining sources</t>
        </is>
      </c>
      <c r="B2" s="68" t="n"/>
      <c r="C2" s="68" t="n"/>
      <c r="D2" s="68" t="n"/>
      <c r="E2" s="68" t="n"/>
      <c r="F2" s="68" t="n"/>
      <c r="G2" s="68" t="n"/>
      <c r="H2" s="69" t="n"/>
    </row>
    <row r="3" ht="31" customHeight="1">
      <c r="A3" s="57" t="inlineStr">
        <is>
          <t>Run Time (JST)</t>
        </is>
      </c>
      <c r="B3" s="58" t="inlineStr">
        <is>
          <t>Feeds Checked</t>
        </is>
      </c>
      <c r="C3" s="58" t="inlineStr">
        <is>
          <t>Feeds Succeeded</t>
        </is>
      </c>
      <c r="D3" s="58" t="inlineStr">
        <is>
          <t>New Items</t>
        </is>
      </c>
      <c r="E3" s="58" t="inlineStr">
        <is>
          <t>Duplicates Skipped</t>
        </is>
      </c>
      <c r="F3" s="58" t="inlineStr">
        <is>
          <t>Feed Errors</t>
        </is>
      </c>
      <c r="G3" s="58" t="inlineStr">
        <is>
          <t>Duration (sec)</t>
        </is>
      </c>
      <c r="H3" s="59" t="inlineStr">
        <is>
          <t>Note</t>
        </is>
      </c>
    </row>
    <row r="4" ht="42" customHeight="1">
      <c r="A4" s="75" t="inlineStr">
        <is>
          <t>2026-07-27T06:32:05+09:00</t>
        </is>
      </c>
      <c r="B4" s="77" t="n">
        <v>89</v>
      </c>
      <c r="C4" s="77" t="n">
        <v>76</v>
      </c>
      <c r="D4" s="77" t="n">
        <v>0</v>
      </c>
      <c r="E4" s="77" t="n">
        <v>115</v>
      </c>
      <c r="F4" s="77" t="n">
        <v>13</v>
      </c>
      <c r="G4" s="77" t="n">
        <v>1988.98</v>
      </c>
      <c r="H4" s="60" t="inlineStr">
        <is>
          <t>Daily update</t>
        </is>
      </c>
    </row>
    <row r="5">
      <c r="A5" s="75" t="inlineStr">
        <is>
          <t>2026-07-26T22:54:37+09:00</t>
        </is>
      </c>
      <c r="B5" s="77" t="n">
        <v>55</v>
      </c>
      <c r="C5" s="77" t="n">
        <v>45</v>
      </c>
      <c r="D5" s="77" t="n">
        <v>11</v>
      </c>
      <c r="E5" s="77" t="n">
        <v>121</v>
      </c>
      <c r="F5" s="77" t="n">
        <v>10</v>
      </c>
      <c r="G5" s="77" t="n">
        <v>3379.75</v>
      </c>
      <c r="H5" s="60" t="inlineStr">
        <is>
          <t>Daily update</t>
        </is>
      </c>
    </row>
    <row r="6">
      <c r="A6" s="75" t="inlineStr">
        <is>
          <t>2026-07-26T22:13:31+09:00</t>
        </is>
      </c>
      <c r="B6" s="77" t="n">
        <v>47</v>
      </c>
      <c r="C6" s="77" t="n">
        <v>37</v>
      </c>
      <c r="D6" s="77" t="n">
        <v>0</v>
      </c>
      <c r="E6" s="77" t="n">
        <v>124</v>
      </c>
      <c r="F6" s="77" t="n">
        <v>10</v>
      </c>
      <c r="G6" s="77" t="n">
        <v>1655.72</v>
      </c>
      <c r="H6" s="60" t="inlineStr">
        <is>
          <t>Daily update</t>
        </is>
      </c>
    </row>
    <row r="7">
      <c r="A7" s="75" t="inlineStr">
        <is>
          <t>2026-07-26T21:45:54+09:00</t>
        </is>
      </c>
      <c r="B7" s="77" t="n">
        <v>128</v>
      </c>
      <c r="C7" s="77" t="n">
        <v>73</v>
      </c>
      <c r="D7" s="77" t="n">
        <v>8</v>
      </c>
      <c r="E7" s="77" t="n">
        <v>603</v>
      </c>
      <c r="F7" s="77" t="n">
        <v>55</v>
      </c>
      <c r="G7" s="77" t="n">
        <v>1492.56</v>
      </c>
      <c r="H7" s="60" t="inlineStr">
        <is>
          <t>Historical backfill: policy 365d / technology 183d</t>
        </is>
      </c>
    </row>
    <row r="8">
      <c r="A8" s="75" t="inlineStr">
        <is>
          <t>2026-07-26T21:29:09+09:00</t>
        </is>
      </c>
      <c r="B8" s="77" t="n">
        <v>41</v>
      </c>
      <c r="C8" s="77" t="n">
        <v>31</v>
      </c>
      <c r="D8" s="77" t="n">
        <v>7</v>
      </c>
      <c r="E8" s="77" t="n">
        <v>76</v>
      </c>
      <c r="F8" s="77" t="n">
        <v>10</v>
      </c>
      <c r="G8" s="77" t="n">
        <v>832.08</v>
      </c>
      <c r="H8" s="60" t="inlineStr">
        <is>
          <t>Daily update</t>
        </is>
      </c>
    </row>
    <row r="9">
      <c r="A9" s="75" t="inlineStr">
        <is>
          <t>2026-07-26T21:02:36+09:00</t>
        </is>
      </c>
      <c r="B9" s="77" t="n">
        <v>108</v>
      </c>
      <c r="C9" s="77" t="n">
        <v>59</v>
      </c>
      <c r="D9" s="77" t="n">
        <v>16</v>
      </c>
      <c r="E9" s="77" t="n">
        <v>92</v>
      </c>
      <c r="F9" s="77" t="n">
        <v>49</v>
      </c>
      <c r="G9" s="77" t="n">
        <v>1376.15</v>
      </c>
      <c r="H9" s="60" t="inlineStr">
        <is>
          <t>Historical backfill: policy 365d / technology 183d</t>
        </is>
      </c>
    </row>
    <row r="10">
      <c r="A10" s="75" t="inlineStr">
        <is>
          <t>2026-07-26T20:36:29+09:00</t>
        </is>
      </c>
      <c r="B10" s="77" t="n">
        <v>38</v>
      </c>
      <c r="C10" s="77" t="n">
        <v>28</v>
      </c>
      <c r="D10" s="77" t="n">
        <v>1</v>
      </c>
      <c r="E10" s="77" t="n">
        <v>74</v>
      </c>
      <c r="F10" s="77" t="n">
        <v>10</v>
      </c>
      <c r="G10" s="77" t="n">
        <v>93.7</v>
      </c>
      <c r="H10" s="60" t="inlineStr">
        <is>
          <t>Daily update</t>
        </is>
      </c>
    </row>
    <row r="11">
      <c r="A11" s="75" t="inlineStr">
        <is>
          <t>2026-07-26T20:34:08+09:00</t>
        </is>
      </c>
      <c r="B11" s="77" t="n">
        <v>38</v>
      </c>
      <c r="C11" s="77" t="n">
        <v>28</v>
      </c>
      <c r="D11" s="77" t="n">
        <v>0</v>
      </c>
      <c r="E11" s="77" t="n">
        <v>74</v>
      </c>
      <c r="F11" s="77" t="n">
        <v>10</v>
      </c>
      <c r="G11" s="77" t="n">
        <v>20.27</v>
      </c>
      <c r="H11" s="60" t="inlineStr">
        <is>
          <t>Daily update</t>
        </is>
      </c>
    </row>
    <row r="12">
      <c r="A12" s="75" t="inlineStr">
        <is>
          <t>2026-07-26T20:29:40+09:00</t>
        </is>
      </c>
      <c r="B12" s="77" t="n">
        <v>38</v>
      </c>
      <c r="C12" s="77" t="n">
        <v>28</v>
      </c>
      <c r="D12" s="77" t="n">
        <v>7</v>
      </c>
      <c r="E12" s="77" t="n">
        <v>11</v>
      </c>
      <c r="F12" s="77" t="n">
        <v>10</v>
      </c>
      <c r="G12" s="77" t="n">
        <v>141.79</v>
      </c>
      <c r="H12" s="60" t="inlineStr">
        <is>
          <t>Daily update</t>
        </is>
      </c>
    </row>
    <row r="13">
      <c r="A13" s="75" t="inlineStr">
        <is>
          <t>2026-07-26T20:24:57+09:00</t>
        </is>
      </c>
      <c r="B13" s="77" t="n">
        <v>38</v>
      </c>
      <c r="C13" s="77" t="n">
        <v>28</v>
      </c>
      <c r="D13" s="77" t="n">
        <v>6</v>
      </c>
      <c r="E13" s="77" t="n">
        <v>24</v>
      </c>
      <c r="F13" s="77" t="n">
        <v>10</v>
      </c>
      <c r="G13" s="77" t="n">
        <v>134.95</v>
      </c>
      <c r="H13" s="60" t="inlineStr">
        <is>
          <t>Daily update</t>
        </is>
      </c>
    </row>
    <row r="14">
      <c r="A14" s="75" t="inlineStr">
        <is>
          <t>2026-07-26T20:19:15+09:00</t>
        </is>
      </c>
      <c r="B14" s="77" t="n">
        <v>38</v>
      </c>
      <c r="C14" s="77" t="n">
        <v>28</v>
      </c>
      <c r="D14" s="77" t="n">
        <v>15</v>
      </c>
      <c r="E14" s="77" t="n">
        <v>22</v>
      </c>
      <c r="F14" s="77" t="n">
        <v>10</v>
      </c>
      <c r="G14" s="77" t="n">
        <v>134.05</v>
      </c>
      <c r="H14" s="60" t="inlineStr">
        <is>
          <t>Daily update</t>
        </is>
      </c>
    </row>
    <row r="15">
      <c r="A15" s="75" t="inlineStr">
        <is>
          <t>2026-07-26T20:13:43+09:00</t>
        </is>
      </c>
      <c r="B15" s="77" t="n">
        <v>34</v>
      </c>
      <c r="C15" s="77" t="n">
        <v>24</v>
      </c>
      <c r="D15" s="77" t="n">
        <v>3</v>
      </c>
      <c r="E15" s="77" t="n">
        <v>51</v>
      </c>
      <c r="F15" s="77" t="n">
        <v>10</v>
      </c>
      <c r="G15" s="77" t="n">
        <v>162.46</v>
      </c>
      <c r="H15" s="60" t="inlineStr">
        <is>
          <t>Daily update</t>
        </is>
      </c>
    </row>
    <row r="16">
      <c r="A16" s="75" t="inlineStr">
        <is>
          <t>2026-07-26T20:00:03+09:00</t>
        </is>
      </c>
      <c r="B16" s="77" t="n">
        <v>34</v>
      </c>
      <c r="C16" s="77" t="n">
        <v>24</v>
      </c>
      <c r="D16" s="77" t="n">
        <v>0</v>
      </c>
      <c r="E16" s="77" t="n">
        <v>58</v>
      </c>
      <c r="F16" s="77" t="n">
        <v>10</v>
      </c>
      <c r="G16" s="77" t="n">
        <v>154.27</v>
      </c>
      <c r="H16" s="60" t="inlineStr">
        <is>
          <t>Daily update</t>
        </is>
      </c>
    </row>
    <row r="17">
      <c r="A17" s="75" t="inlineStr">
        <is>
          <t>2026-07-26T19:51:39+09:00</t>
        </is>
      </c>
      <c r="B17" s="77" t="n">
        <v>34</v>
      </c>
      <c r="C17" s="77" t="n">
        <v>24</v>
      </c>
      <c r="D17" s="77" t="n">
        <v>9</v>
      </c>
      <c r="E17" s="77" t="n">
        <v>49</v>
      </c>
      <c r="F17" s="77" t="n">
        <v>10</v>
      </c>
      <c r="G17" s="77" t="n">
        <v>11.55</v>
      </c>
      <c r="H17" s="60" t="inlineStr">
        <is>
          <t>Daily update</t>
        </is>
      </c>
    </row>
    <row r="18">
      <c r="A18" s="75" t="inlineStr">
        <is>
          <t>2026-07-26T19:10:55+09:00</t>
        </is>
      </c>
      <c r="B18" s="77" t="n">
        <v>34</v>
      </c>
      <c r="C18" s="77" t="n">
        <v>25</v>
      </c>
      <c r="D18" s="77" t="n">
        <v>3</v>
      </c>
      <c r="E18" s="77" t="n">
        <v>45</v>
      </c>
      <c r="F18" s="77" t="n">
        <v>9</v>
      </c>
      <c r="G18" s="77" t="n">
        <v>194.65</v>
      </c>
      <c r="H18" s="60" t="inlineStr">
        <is>
          <t>Daily update</t>
        </is>
      </c>
    </row>
    <row r="19">
      <c r="A19" s="75" t="inlineStr">
        <is>
          <t>2026-07-26T19:05:06+09:00</t>
        </is>
      </c>
      <c r="B19" s="77" t="n">
        <v>33</v>
      </c>
      <c r="C19" s="77" t="n">
        <v>24</v>
      </c>
      <c r="D19" s="77" t="n">
        <v>5</v>
      </c>
      <c r="E19" s="77" t="n">
        <v>39</v>
      </c>
      <c r="F19" s="77" t="n">
        <v>9</v>
      </c>
      <c r="G19" s="77" t="n">
        <v>165.89</v>
      </c>
      <c r="H19" s="60" t="inlineStr">
        <is>
          <t>Daily update</t>
        </is>
      </c>
    </row>
    <row r="20">
      <c r="A20" s="75" t="inlineStr">
        <is>
          <t>2026-07-26T18:56:03+09:00</t>
        </is>
      </c>
      <c r="B20" s="77" t="n">
        <v>33</v>
      </c>
      <c r="C20" s="77" t="n">
        <v>20</v>
      </c>
      <c r="D20" s="77" t="n">
        <v>94</v>
      </c>
      <c r="E20" s="77" t="n">
        <v>0</v>
      </c>
      <c r="F20" s="77" t="n">
        <v>13</v>
      </c>
      <c r="G20" s="77" t="n">
        <v>129.43</v>
      </c>
      <c r="H20" s="60" t="inlineStr">
        <is>
          <t>Initial lookback</t>
        </is>
      </c>
    </row>
  </sheetData>
  <autoFilter ref="A3:H20"/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2026-07-26T22:05:14Z</dcterms:created>
  <dcterms:modified xsi:type="dcterms:W3CDTF">2026-07-26T22:05:14Z</dcterms:modified>
</cp:coreProperties>
</file>