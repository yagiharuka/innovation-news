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ashboard" sheetId="1" state="visible" r:id="rId1"/>
    <sheet name="News Ledger" sheetId="2" state="visible" r:id="rId2"/>
    <sheet name="Source Registry" sheetId="3" state="visible" r:id="rId3"/>
    <sheet name="Run Log" sheetId="4" state="visible" r:id="rId4"/>
  </sheets>
  <definedNames>
    <definedName name="_xlnm._FilterDatabase" localSheetId="1" hidden="1">'News Ledger'!$A$3:$O$114</definedName>
    <definedName name="_xlnm._FilterDatabase" localSheetId="2" hidden="1">'Source Registry'!$A$3:$K$37</definedName>
    <definedName name="_xlnm._FilterDatabase" localSheetId="3" hidden="1">'Run Log'!$A$3:$H$8</definedName>
  </definedNames>
  <calcPr calcId="124519" calcMode="auto" fullCalcOnLoad="1" forceFullCalc="1"/>
</workbook>
</file>

<file path=xl/styles.xml><?xml version="1.0" encoding="utf-8"?>
<styleSheet xmlns="http://schemas.openxmlformats.org/spreadsheetml/2006/main">
  <numFmts count="1">
    <numFmt numFmtId="164" formatCode="yyyy-mm-dd hh:mm"/>
  </numFmts>
  <fonts count="10">
    <font>
      <name val="Carlito"/>
      <sz val="11"/>
    </font>
    <font>
      <name val="DejaVu Sans"/>
      <b val="1"/>
      <color rgb="FFFFFFFF"/>
      <sz val="20"/>
    </font>
    <font>
      <name val="DejaVu Sans"/>
      <color rgb="FF5B6B78"/>
      <sz val="10"/>
    </font>
    <font>
      <name val="DejaVu Sans"/>
      <b val="1"/>
      <color rgb="FFFFFFFF"/>
      <sz val="11"/>
    </font>
    <font>
      <name val="DejaVu Sans"/>
      <color rgb="FF182632"/>
      <sz val="10"/>
    </font>
    <font>
      <name val="DejaVu Sans"/>
      <b val="1"/>
      <color rgb="FF182632"/>
      <sz val="10"/>
    </font>
    <font>
      <name val="DejaVu Sans"/>
      <b val="1"/>
      <color rgb="FF0F766E"/>
      <sz val="16"/>
    </font>
    <font>
      <name val="DejaVu Sans"/>
      <b val="1"/>
      <color rgb="FF0B1F33"/>
      <sz val="11"/>
    </font>
    <font>
      <name val="DejaVu Sans"/>
      <sz val="11"/>
    </font>
    <font>
      <name val="DejaVu Sans"/>
      <b val="1"/>
      <color rgb="FFFFFFFF"/>
      <sz val="10"/>
    </font>
  </fonts>
  <fills count="8">
    <fill>
      <patternFill/>
    </fill>
    <fill>
      <patternFill patternType="gray125"/>
    </fill>
    <fill>
      <patternFill patternType="solid">
        <fgColor rgb="FF0B1F33"/>
      </patternFill>
    </fill>
    <fill>
      <patternFill patternType="solid">
        <fgColor rgb="FFF4F7F8"/>
      </patternFill>
    </fill>
    <fill>
      <patternFill patternType="solid">
        <fgColor rgb="FF0F766E"/>
      </patternFill>
    </fill>
    <fill>
      <patternFill patternType="solid">
        <fgColor rgb="FFFFFFFF"/>
      </patternFill>
    </fill>
    <fill>
      <patternFill patternType="solid">
        <fgColor rgb="FFDDF3EE"/>
      </patternFill>
    </fill>
    <fill>
      <patternFill patternType="solid">
        <fgColor rgb="FFF7ECD4"/>
      </patternFill>
    </fill>
  </fills>
  <borders count="11">
    <border/>
    <border>
      <left style="thin">
        <color rgb="FFD7E0E5"/>
      </left>
      <top style="thin">
        <color rgb="FFD7E0E5"/>
      </top>
      <bottom style="thin">
        <color rgb="FFD7E0E5"/>
      </bottom>
    </border>
    <border>
      <top style="thin">
        <color rgb="FFD7E0E5"/>
      </top>
      <bottom style="thin">
        <color rgb="FFD7E0E5"/>
      </bottom>
    </border>
    <border>
      <right style="thin">
        <color rgb="FFD7E0E5"/>
      </right>
      <top style="thin">
        <color rgb="FFD7E0E5"/>
      </top>
      <bottom style="thin">
        <color rgb="FFD7E0E5"/>
      </bottom>
    </border>
    <border>
      <bottom style="thin">
        <color rgb="FFD7E0E5"/>
      </bottom>
    </border>
    <border>
      <top style="thin">
        <color rgb="FFD7E0E5"/>
      </top>
    </border>
    <border>
      <left style="thin">
        <color rgb="FFD7E0E5"/>
      </left>
      <right style="thin">
        <color rgb="FFD7E0E5"/>
      </right>
      <top style="thin">
        <color rgb="FFD7E0E5"/>
      </top>
      <bottom style="thin">
        <color rgb="FFD7E0E5"/>
      </bottom>
    </border>
    <border>
      <right style="thin">
        <color rgb="FFB8D6D0"/>
      </right>
      <bottom style="medium">
        <color rgb="FF0B1F33"/>
      </bottom>
    </border>
    <border>
      <left style="thin">
        <color rgb="FFB8D6D0"/>
      </left>
      <right style="thin">
        <color rgb="FFB8D6D0"/>
      </right>
      <bottom style="medium">
        <color rgb="FF0B1F33"/>
      </bottom>
    </border>
    <border>
      <left style="thin">
        <color rgb="FFB8D6D0"/>
      </left>
      <bottom style="medium">
        <color rgb="FF0B1F33"/>
      </bottom>
    </border>
    <border>
      <right style="thin">
        <color rgb="FFD7E0E5"/>
      </right>
      <top style="thin">
        <color rgb="FFD7E0E5"/>
      </top>
    </border>
  </borders>
  <cellStyleXfs count="1">
    <xf numFmtId="0" fontId="0" fillId="0" borderId="0"/>
  </cellStyleXfs>
  <cellXfs count="78">
    <xf numFmtId="0" fontId="0" fillId="0" borderId="0"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left"/>
    </xf>
    <xf numFmtId="0" fontId="1" fillId="2" borderId="0" applyAlignment="1" pivotButton="0" quotePrefix="0" xfId="0">
      <alignment horizontal="left" vertical="center"/>
    </xf>
    <xf numFmtId="0" fontId="0" fillId="3" borderId="0" pivotButton="0" quotePrefix="0" xfId="0"/>
    <xf numFmtId="0" fontId="2" fillId="3" borderId="0" pivotButton="0" quotePrefix="0" xfId="0"/>
    <xf numFmtId="0" fontId="2" fillId="3" borderId="1" pivotButton="0" quotePrefix="0" xfId="0"/>
    <xf numFmtId="0" fontId="2" fillId="3" borderId="2" pivotButton="0" quotePrefix="0" xfId="0"/>
    <xf numFmtId="0" fontId="2" fillId="3" borderId="3" pivotButton="0" quotePrefix="0" xfId="0"/>
    <xf numFmtId="0" fontId="2" fillId="3" borderId="1" applyAlignment="1" pivotButton="0" quotePrefix="0" xfId="0">
      <alignment horizontal="left"/>
    </xf>
    <xf numFmtId="0" fontId="2" fillId="3" borderId="2" applyAlignment="1" pivotButton="0" quotePrefix="0" xfId="0">
      <alignment horizontal="left"/>
    </xf>
    <xf numFmtId="0" fontId="2" fillId="3" borderId="3" applyAlignment="1" pivotButton="0" quotePrefix="0" xfId="0">
      <alignment horizontal="left"/>
    </xf>
    <xf numFmtId="0" fontId="2" fillId="3" borderId="1" applyAlignment="1" pivotButton="0" quotePrefix="0" xfId="0">
      <alignment horizontal="left" vertical="center"/>
    </xf>
    <xf numFmtId="0" fontId="2" fillId="3" borderId="2" applyAlignment="1" pivotButton="0" quotePrefix="0" xfId="0">
      <alignment horizontal="left" vertical="center"/>
    </xf>
    <xf numFmtId="0" fontId="2" fillId="3" borderId="3" applyAlignment="1" pivotButton="0" quotePrefix="0" xfId="0">
      <alignment horizontal="left" vertical="center"/>
    </xf>
    <xf numFmtId="0" fontId="0" fillId="4" borderId="0" pivotButton="0" quotePrefix="0" xfId="0"/>
    <xf numFmtId="0" fontId="3" fillId="4" borderId="0" pivotButton="0" quotePrefix="0" xfId="0"/>
    <xf numFmtId="0" fontId="3" fillId="4" borderId="0" applyAlignment="1" pivotButton="0" quotePrefix="0" xfId="0">
      <alignment horizontal="left"/>
    </xf>
    <xf numFmtId="0" fontId="3" fillId="4" borderId="0" applyAlignment="1" pivotButton="0" quotePrefix="0" xfId="0">
      <alignment horizontal="left" vertical="center"/>
    </xf>
    <xf numFmtId="0" fontId="0" fillId="5" borderId="0" pivotButton="0" quotePrefix="0" xfId="0"/>
    <xf numFmtId="0" fontId="4" fillId="5" borderId="0" pivotButton="0" quotePrefix="0" xfId="0"/>
    <xf numFmtId="0" fontId="4" fillId="5" borderId="4" pivotButton="0" quotePrefix="0" xfId="0"/>
    <xf numFmtId="0" fontId="4" fillId="5" borderId="2" pivotButton="0" quotePrefix="0" xfId="0"/>
    <xf numFmtId="0" fontId="4" fillId="5" borderId="5" pivotButton="0" quotePrefix="0" xfId="0"/>
    <xf numFmtId="0" fontId="4" fillId="5" borderId="4" applyAlignment="1" pivotButton="0" quotePrefix="0" xfId="0">
      <alignment vertical="center"/>
    </xf>
    <xf numFmtId="0" fontId="4" fillId="5" borderId="2" applyAlignment="1" pivotButton="0" quotePrefix="0" xfId="0">
      <alignment vertical="center"/>
    </xf>
    <xf numFmtId="0" fontId="4" fillId="5" borderId="5" applyAlignment="1" pivotButton="0" quotePrefix="0" xfId="0">
      <alignment vertical="center"/>
    </xf>
    <xf numFmtId="0" fontId="5" fillId="5" borderId="4" applyAlignment="1" pivotButton="0" quotePrefix="0" xfId="0">
      <alignment vertical="center"/>
    </xf>
    <xf numFmtId="0" fontId="5" fillId="5" borderId="2" applyAlignment="1" pivotButton="0" quotePrefix="0" xfId="0">
      <alignment vertical="center"/>
    </xf>
    <xf numFmtId="0" fontId="5" fillId="5" borderId="5" applyAlignment="1" pivotButton="0" quotePrefix="0" xfId="0">
      <alignment vertical="center"/>
    </xf>
    <xf numFmtId="0" fontId="4" fillId="6" borderId="2" applyAlignment="1" pivotButton="0" quotePrefix="0" xfId="0">
      <alignment vertical="center"/>
    </xf>
    <xf numFmtId="0" fontId="4" fillId="6" borderId="5" applyAlignment="1" pivotButton="0" quotePrefix="0" xfId="0">
      <alignment vertical="center"/>
    </xf>
    <xf numFmtId="0" fontId="6" fillId="6" borderId="2" applyAlignment="1" pivotButton="0" quotePrefix="0" xfId="0">
      <alignment vertical="center"/>
    </xf>
    <xf numFmtId="0" fontId="6" fillId="6" borderId="5" applyAlignment="1" pivotButton="0" quotePrefix="0" xfId="0">
      <alignment vertical="center"/>
    </xf>
    <xf numFmtId="0" fontId="6" fillId="6" borderId="6" applyAlignment="1" pivotButton="0" quotePrefix="0" xfId="0">
      <alignment vertical="center"/>
    </xf>
    <xf numFmtId="3" fontId="6" fillId="6" borderId="6" applyAlignment="1" pivotButton="0" quotePrefix="0" xfId="0">
      <alignment vertical="center"/>
    </xf>
    <xf numFmtId="3" fontId="6" fillId="6" borderId="6" applyAlignment="1" pivotButton="0" quotePrefix="0" xfId="0">
      <alignment horizontal="right" vertical="center"/>
    </xf>
    <xf numFmtId="3" fontId="4" fillId="5" borderId="4" applyAlignment="1" pivotButton="0" quotePrefix="0" xfId="0">
      <alignment vertical="center"/>
    </xf>
    <xf numFmtId="3" fontId="4" fillId="5" borderId="2" applyAlignment="1" pivotButton="0" quotePrefix="0" xfId="0">
      <alignment vertical="center"/>
    </xf>
    <xf numFmtId="3" fontId="4" fillId="5" borderId="5" applyAlignment="1" pivotButton="0" quotePrefix="0" xfId="0">
      <alignment vertical="center"/>
    </xf>
    <xf numFmtId="0" fontId="0" fillId="7" borderId="0" pivotButton="0" quotePrefix="0" xfId="0"/>
    <xf numFmtId="0" fontId="7" fillId="7" borderId="0" pivotButton="0" quotePrefix="0" xfId="0"/>
    <xf numFmtId="0" fontId="7" fillId="7" borderId="0" applyAlignment="1" pivotButton="0" quotePrefix="0" xfId="0">
      <alignment vertical="center"/>
    </xf>
    <xf numFmtId="0" fontId="4" fillId="5" borderId="4" applyAlignment="1" pivotButton="0" quotePrefix="0" xfId="0">
      <alignment wrapText="1"/>
    </xf>
    <xf numFmtId="0" fontId="4" fillId="5" borderId="4" applyAlignment="1" pivotButton="0" quotePrefix="0" xfId="0">
      <alignment vertical="center" wrapText="1"/>
    </xf>
    <xf numFmtId="0" fontId="8" fillId="0" borderId="0" pivotButton="0" quotePrefix="0" xfId="0"/>
    <xf numFmtId="0" fontId="9" fillId="4" borderId="0" pivotButton="0" quotePrefix="0" xfId="0"/>
    <xf numFmtId="0" fontId="9" fillId="4" borderId="7" pivotButton="0" quotePrefix="0" xfId="0"/>
    <xf numFmtId="0" fontId="9" fillId="4" borderId="8" pivotButton="0" quotePrefix="0" xfId="0"/>
    <xf numFmtId="0" fontId="9" fillId="4" borderId="9" pivotButton="0" quotePrefix="0" xfId="0"/>
    <xf numFmtId="0" fontId="9" fillId="4" borderId="7" applyAlignment="1" pivotButton="0" quotePrefix="0" xfId="0">
      <alignment wrapText="1"/>
    </xf>
    <xf numFmtId="0" fontId="9" fillId="4" borderId="8" applyAlignment="1" pivotButton="0" quotePrefix="0" xfId="0">
      <alignment wrapText="1"/>
    </xf>
    <xf numFmtId="0" fontId="9" fillId="4" borderId="9" applyAlignment="1" pivotButton="0" quotePrefix="0" xfId="0">
      <alignment wrapText="1"/>
    </xf>
    <xf numFmtId="0" fontId="9" fillId="4" borderId="7" applyAlignment="1" pivotButton="0" quotePrefix="0" xfId="0">
      <alignment horizontal="center" wrapText="1"/>
    </xf>
    <xf numFmtId="0" fontId="9" fillId="4" borderId="8" applyAlignment="1" pivotButton="0" quotePrefix="0" xfId="0">
      <alignment horizontal="center" wrapText="1"/>
    </xf>
    <xf numFmtId="0" fontId="9" fillId="4" borderId="9" applyAlignment="1" pivotButton="0" quotePrefix="0" xfId="0">
      <alignment horizontal="center" wrapText="1"/>
    </xf>
    <xf numFmtId="0" fontId="9" fillId="4" borderId="7" applyAlignment="1" pivotButton="0" quotePrefix="0" xfId="0">
      <alignment horizontal="center" vertical="center" wrapText="1"/>
    </xf>
    <xf numFmtId="0" fontId="9" fillId="4" borderId="8" applyAlignment="1" pivotButton="0" quotePrefix="0" xfId="0">
      <alignment horizontal="center" vertical="center" wrapText="1"/>
    </xf>
    <xf numFmtId="0" fontId="9" fillId="4" borderId="9" applyAlignment="1" pivotButton="0" quotePrefix="0" xfId="0">
      <alignment horizontal="center" vertical="center" wrapText="1"/>
    </xf>
    <xf numFmtId="0" fontId="4" fillId="5" borderId="4" applyAlignment="1" pivotButton="0" quotePrefix="0" xfId="0">
      <alignment vertical="top" wrapText="1"/>
    </xf>
    <xf numFmtId="1" fontId="4" fillId="5" borderId="4" applyAlignment="1" pivotButton="0" quotePrefix="0" xfId="0">
      <alignment vertical="top" wrapText="1"/>
    </xf>
    <xf numFmtId="164" fontId="4" fillId="5" borderId="4" applyAlignment="1" pivotButton="0" quotePrefix="0" xfId="0">
      <alignment vertical="top" wrapText="1"/>
    </xf>
    <xf numFmtId="0" fontId="4" fillId="5" borderId="2" applyAlignment="1" pivotButton="0" quotePrefix="0" xfId="0">
      <alignment wrapText="1"/>
    </xf>
    <xf numFmtId="0" fontId="4" fillId="5" borderId="2" applyAlignment="1" pivotButton="0" quotePrefix="0" xfId="0">
      <alignment vertical="top" wrapText="1"/>
    </xf>
    <xf numFmtId="1" fontId="4" fillId="5" borderId="2" applyAlignment="1" pivotButton="0" quotePrefix="0" xfId="0">
      <alignment vertical="top" wrapText="1"/>
    </xf>
    <xf numFmtId="3" fontId="4" fillId="5" borderId="4" applyAlignment="1" pivotButton="0" quotePrefix="0" xfId="0">
      <alignment vertical="top" wrapText="1"/>
    </xf>
    <xf numFmtId="0" fontId="2" fillId="3" borderId="6" applyAlignment="1" pivotButton="0" quotePrefix="0" xfId="0">
      <alignment horizontal="left" vertical="center"/>
    </xf>
    <xf numFmtId="0" fontId="0" fillId="0" borderId="2" pivotButton="0" quotePrefix="0" xfId="0"/>
    <xf numFmtId="0" fontId="0" fillId="0" borderId="3" pivotButton="0" quotePrefix="0" xfId="0"/>
    <xf numFmtId="3" fontId="4" fillId="5" borderId="4" applyAlignment="1" pivotButton="0" quotePrefix="0" xfId="0">
      <alignment vertical="center"/>
    </xf>
    <xf numFmtId="3" fontId="6" fillId="6" borderId="6" applyAlignment="1" pivotButton="0" quotePrefix="0" xfId="0">
      <alignment horizontal="right" vertical="center"/>
    </xf>
    <xf numFmtId="3" fontId="4" fillId="5" borderId="2" applyAlignment="1" pivotButton="0" quotePrefix="0" xfId="0">
      <alignment vertical="center"/>
    </xf>
    <xf numFmtId="3" fontId="4" fillId="5" borderId="5" applyAlignment="1" pivotButton="0" quotePrefix="0" xfId="0">
      <alignment vertical="center"/>
    </xf>
    <xf numFmtId="0" fontId="0" fillId="0" borderId="4" pivotButton="0" quotePrefix="0" xfId="0"/>
    <xf numFmtId="164" fontId="4" fillId="5" borderId="4" applyAlignment="1" pivotButton="0" quotePrefix="0" xfId="0">
      <alignment vertical="top" wrapText="1"/>
    </xf>
    <xf numFmtId="1" fontId="4" fillId="5" borderId="4" applyAlignment="1" pivotButton="0" quotePrefix="0" xfId="0">
      <alignment vertical="top" wrapText="1"/>
    </xf>
    <xf numFmtId="3" fontId="4" fillId="5" borderId="4" applyAlignment="1" pivotButton="0" quotePrefix="0" xfId="0">
      <alignment vertical="top" wrapText="1"/>
    </xf>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ables/table1.xml><?xml version="1.0" encoding="utf-8"?>
<table xmlns="http://schemas.openxmlformats.org/spreadsheetml/2006/main" id="1" name="NewsLedgerTable" displayName="NewsLedgerTable" ref="A3:O114" headerRowCount="1" totalsRowCount="0" totalsRowShown="0">
  <autoFilter ref="A3:O4"/>
  <tableColumns count="15">
    <tableColumn id="1" name="Collected At (JST)"/>
    <tableColumn id="2" name="Published At"/>
    <tableColumn id="3" name="Region"/>
    <tableColumn id="4" name="Country / Area"/>
    <tableColumn id="5" name="Topic"/>
    <tableColumn id="6" name="Policy Relevance"/>
    <tableColumn id="7" name="Source Type"/>
    <tableColumn id="8" name="Source"/>
    <tableColumn id="9" name="Title"/>
    <tableColumn id="10" name="Summary"/>
    <tableColumn id="11" name="URL"/>
    <tableColumn id="12" name="Canonical ID"/>
    <tableColumn id="13" name="First Seen"/>
    <tableColumn id="14" name="Status"/>
    <tableColumn id="15" name="Notes"/>
  </tableColumns>
  <tableStyleInfo name="TableStyleMedium2" showFirstColumn="0" showLastColumn="0" showRowStripes="1" showColumnStripes="0"/>
</table>
</file>

<file path=xl/tables/table2.xml><?xml version="1.0" encoding="utf-8"?>
<table xmlns="http://schemas.openxmlformats.org/spreadsheetml/2006/main" id="2" name="SourceRegistryTable" displayName="SourceRegistryTable" ref="A3:K37" headerRowCount="1" totalsRowCount="0" totalsRowShown="0">
  <autoFilter ref="A3:K37"/>
  <tableColumns count="11">
    <tableColumn id="1" name="Active"/>
    <tableColumn id="2" name="Region"/>
    <tableColumn id="3" name="Country / Area"/>
    <tableColumn id="4" name="Category"/>
    <tableColumn id="5" name="Source"/>
    <tableColumn id="6" name="Organization"/>
    <tableColumn id="7" name="Feed URL"/>
    <tableColumn id="8" name="Homepage"/>
    <tableColumn id="9" name="Priority"/>
    <tableColumn id="10" name="Native Feed"/>
    <tableColumn id="11" name="Notes"/>
  </tableColumns>
  <tableStyleInfo name="TableStyleMedium4" showFirstColumn="0" showLastColumn="0" showRowStripes="1" showColumnStripes="0"/>
</table>
</file>

<file path=xl/tables/table3.xml><?xml version="1.0" encoding="utf-8"?>
<table xmlns="http://schemas.openxmlformats.org/spreadsheetml/2006/main" id="3" name="RunLogTable" displayName="RunLogTable" ref="A3:H8" headerRowCount="1" totalsRowCount="0" totalsRowShown="0">
  <autoFilter ref="A3:H4"/>
  <tableColumns count="8">
    <tableColumn id="1" name="Run Time (JST)"/>
    <tableColumn id="2" name="Feeds Checked"/>
    <tableColumn id="3" name="Feeds Succeeded"/>
    <tableColumn id="4" name="New Items"/>
    <tableColumn id="5" name="Duplicates Skipped"/>
    <tableColumn id="6" name="Feed Errors"/>
    <tableColumn id="7" name="Duration (sec)"/>
    <tableColumn id="8" name="Note"/>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hyperlink" Target="https://www.scmp.com/news/china/politics/article/3361892/were-german-courts-too-soft-chinese-members-drug-rape-network?utm_source=rss_feed" TargetMode="External" Id="rId1" /><Relationship Type="http://schemas.openxmlformats.org/officeDocument/2006/relationships/hyperlink" Target="https://www.scmp.com/business/china-business/article/3361876/lower-profit-margins-set-foil-chinese-carmakers-price-war-plans-despite-falling-sales?utm_source=rss_feed" TargetMode="External" Id="rId2" /><Relationship Type="http://schemas.openxmlformats.org/officeDocument/2006/relationships/hyperlink" Target="https://www.scmp.com/news/world/europe/article/3361871/european-heatwaves-drive-summer-tourists-cooler-north?utm_source=rss_feed" TargetMode="External" Id="rId3" /><Relationship Type="http://schemas.openxmlformats.org/officeDocument/2006/relationships/hyperlink" Target="https://www.scmp.com/news/people-culture/trending-china/article/3361865/rare-medical-condition-causes-chinese-mans-scalp-thicken-and-fold-resembling-human-brain?utm_source=rss_feed" TargetMode="External" Id="rId4" /><Relationship Type="http://schemas.openxmlformats.org/officeDocument/2006/relationships/hyperlink" Target="https://www.scmp.com/week-asia/economics/article/3361783/indonesias-plan-singapore-rival-starts-take-shape?utm_source=rss_feed" TargetMode="External" Id="rId5" /><Relationship Type="http://schemas.openxmlformats.org/officeDocument/2006/relationships/hyperlink" Target="https://www.scmp.com/news/world/middle-east/article/3361857/us-pauses-nightly-iran-strikes-houthis-clash-saudis?utm_source=rss_feed" TargetMode="External" Id="rId6" /><Relationship Type="http://schemas.openxmlformats.org/officeDocument/2006/relationships/hyperlink" Target="https://www.scmp.com/opinion/world-opinion/article/3361362/west-debating-ais-future-half-world-absent?utm_source=rss_feed" TargetMode="External" Id="rId7" /><Relationship Type="http://schemas.openxmlformats.org/officeDocument/2006/relationships/hyperlink" Target="https://www.theguardian.com/australia-news/2026/jul/26/mega-datacentre-planned-for-outer-melbourne-will-be-almost-six-times-the-size-of-chadstone-shopping-centre" TargetMode="External" Id="rId8" /><Relationship Type="http://schemas.openxmlformats.org/officeDocument/2006/relationships/hyperlink" Target="https://news.samsung.com/global/samsung-electronics-and-broadcom-expand-strategic-collaboration-across-memory-and-foundry-technologies" TargetMode="External" Id="rId9" /><Relationship Type="http://schemas.openxmlformats.org/officeDocument/2006/relationships/hyperlink" Target="https://www.theguardian.com/technology/2026/jul/25/ai-jobs-apocalypse-human-labor" TargetMode="External" Id="rId10" /><Relationship Type="http://schemas.openxmlformats.org/officeDocument/2006/relationships/hyperlink" Target="https://www.scmp.com/tech/article/3361562/what-supernode-and-why-does-it-matter-china-us-tech-rivalry?utm_source=rss_feed" TargetMode="External" Id="rId11" /><Relationship Type="http://schemas.openxmlformats.org/officeDocument/2006/relationships/hyperlink" Target="https://www.thenationalnews.com/future/technology/2026/07/25/risky-bet-the-winners-and-losers-from-the-openai-hugging-face-hacking-mess/" TargetMode="External" Id="rId12" /><Relationship Type="http://schemas.openxmlformats.org/officeDocument/2006/relationships/hyperlink" Target="https://www.theguardian.com/lifeandstyle/ng-interactive/2026/jul/25/long-lost-family-reunited-chatgpt-artificial-intelligence-ai" TargetMode="External" Id="rId13" /><Relationship Type="http://schemas.openxmlformats.org/officeDocument/2006/relationships/hyperlink" Target="https://spectrum.ieee.org/ieee-president-ray-liu-award" TargetMode="External" Id="rId14" /><Relationship Type="http://schemas.openxmlformats.org/officeDocument/2006/relationships/hyperlink" Target="https://www.thenationalnews.com/future/technology/2026/07/24/open-weight-models-ai-nvidia/" TargetMode="External" Id="rId15" /><Relationship Type="http://schemas.openxmlformats.org/officeDocument/2006/relationships/hyperlink" Target="https://www.technologyreview.com/2026/07/24/1140790/the-quest-to-keep-organs-alive-outside-the-body/" TargetMode="External" Id="rId16" /><Relationship Type="http://schemas.openxmlformats.org/officeDocument/2006/relationships/hyperlink" Target="https://newsroom.intel.com/new-technologies/intel-and-lens-technology-collaborate-to-enable-advanced-semiconductor-packaging-for-the-ai-era" TargetMode="External" Id="rId17" /><Relationship Type="http://schemas.openxmlformats.org/officeDocument/2006/relationships/hyperlink" Target="https://www.gov.uk/government/publications/cyber-resilience-pledge-list-of-signatories" TargetMode="External" Id="rId18" /><Relationship Type="http://schemas.openxmlformats.org/officeDocument/2006/relationships/hyperlink" Target="https://www.theguardian.com/technology/2026/jul/24/openai-rogue-hacker" TargetMode="External" Id="rId19" /><Relationship Type="http://schemas.openxmlformats.org/officeDocument/2006/relationships/hyperlink" Target="https://www.theguardian.com/commentisfree/2026/jul/24/should-you-use-ai" TargetMode="External" Id="rId20" /><Relationship Type="http://schemas.openxmlformats.org/officeDocument/2006/relationships/hyperlink" Target="https://www.thenationalnews.com/future/technology/2026/07/24/zoom-launches-live-voice-translation-with-arabic-coming-in-late-2026/" TargetMode="External" Id="rId21" /><Relationship Type="http://schemas.openxmlformats.org/officeDocument/2006/relationships/hyperlink" Target="https://blogs.nvidia.com/blog/ai-summit-korea-partners-and-nvidia/" TargetMode="External" Id="rId22" /><Relationship Type="http://schemas.openxmlformats.org/officeDocument/2006/relationships/hyperlink" Target="https://www.nature.com/articles/d41586-026-02338-2" TargetMode="External" Id="rId23" /><Relationship Type="http://schemas.openxmlformats.org/officeDocument/2006/relationships/hyperlink" Target="https://www.nature.com/articles/d41586-026-02268-z" TargetMode="External" Id="rId24" /><Relationship Type="http://schemas.openxmlformats.org/officeDocument/2006/relationships/hyperlink" Target="https://newsroom.intel.com/corporate/intel-reports-second-quarter-2026-financial-results" TargetMode="External" Id="rId25" /><Relationship Type="http://schemas.openxmlformats.org/officeDocument/2006/relationships/hyperlink" Target="https://www.theguardian.com/us-news/2026/jul/23/trump-datacenter-costs-big-tech" TargetMode="External" Id="rId26" /><Relationship Type="http://schemas.openxmlformats.org/officeDocument/2006/relationships/hyperlink" Target="https://news.samsung.com/global/infographic-galaxy-unpacked-july-2026-highlights-from-galaxy-unpacked" TargetMode="External" Id="rId27" /><Relationship Type="http://schemas.openxmlformats.org/officeDocument/2006/relationships/hyperlink" Target="https://www.technologyreview.com/2026/07/23/1140765/supercooled-kidneys-have-been-transplanted-into-pigs-in-a-landmark-achievement/" TargetMode="External" Id="rId28" /><Relationship Type="http://schemas.openxmlformats.org/officeDocument/2006/relationships/hyperlink" Target="https://www.theguardian.com/business/2026/jul/23/customers-prefer-ai-chatbots-says-chris-oshea-british-gas-centrica-boss" TargetMode="External" Id="rId29" /><Relationship Type="http://schemas.openxmlformats.org/officeDocument/2006/relationships/hyperlink" Target="https://news.samsung.com/global/galaxy-unpacked-july-2026-samsung-and-partners-envision-a-connected-care-future-from-first-signal-to-lasting-change" TargetMode="External" Id="rId30" /><Relationship Type="http://schemas.openxmlformats.org/officeDocument/2006/relationships/hyperlink" Target="https://www.theguardian.com/technology/2026/jul/23/elon-musk-regret-trump-doge-ai" TargetMode="External" Id="rId31" /><Relationship Type="http://schemas.openxmlformats.org/officeDocument/2006/relationships/hyperlink" Target="https://www.theguardian.com/film/2026/jul/23/how-2020s-decade-revolutionised-cinema" TargetMode="External" Id="rId32" /><Relationship Type="http://schemas.openxmlformats.org/officeDocument/2006/relationships/hyperlink" Target="https://blogs.nvidia.com/blog/geforce-now-thursday-path-of-exile-allflame/" TargetMode="External" Id="rId33" /><Relationship Type="http://schemas.openxmlformats.org/officeDocument/2006/relationships/hyperlink" Target="https://www.technologyreview.com/2026/07/23/1140346/how-ai-helps-scientists-design-the-next-generation-of-medicines/" TargetMode="External" Id="rId34" /><Relationship Type="http://schemas.openxmlformats.org/officeDocument/2006/relationships/hyperlink" Target="https://www.bruegel.org/node/12451" TargetMode="External" Id="rId35" /><Relationship Type="http://schemas.openxmlformats.org/officeDocument/2006/relationships/hyperlink" Target="https://www.who.int/news/item/23-07-2026-who-launches-seven-strategies-to-prevent-drowning" TargetMode="External" Id="rId36" /><Relationship Type="http://schemas.openxmlformats.org/officeDocument/2006/relationships/hyperlink" Target="https://blogs.nvidia.com/blog/naval-postgraduate-school-dgx-ai-supercomputer/" TargetMode="External" Id="rId37" /><Relationship Type="http://schemas.openxmlformats.org/officeDocument/2006/relationships/hyperlink" Target="https://www.brookings.edu/articles/how-tech-firms-should-address-job-concerns-and-skill-development/" TargetMode="External" Id="rId38" /><Relationship Type="http://schemas.openxmlformats.org/officeDocument/2006/relationships/hyperlink" Target="https://openai.com/index/health-in-chatgpt" TargetMode="External" Id="rId39" /><Relationship Type="http://schemas.openxmlformats.org/officeDocument/2006/relationships/hyperlink" Target="https://www.nature.com/articles/d41586-026-02024-3" TargetMode="External" Id="rId40" /><Relationship Type="http://schemas.openxmlformats.org/officeDocument/2006/relationships/hyperlink" Target="https://www.nature.com/articles/d41586-026-02307-9" TargetMode="External" Id="rId41" /><Relationship Type="http://schemas.openxmlformats.org/officeDocument/2006/relationships/hyperlink" Target="https://news.samsung.com/global/galaxy-unpacked-july-2026-a-first-look-at-galaxy-z-fold8-ultra-galaxy-z-fold8-and-galaxy-z-flip8" TargetMode="External" Id="rId42" /><Relationship Type="http://schemas.openxmlformats.org/officeDocument/2006/relationships/hyperlink" Target="https://news.samsung.com/global/galaxy-unpacked-july-2026-a-first-look-at-galaxy-watch-ultra2-and-galaxy-watch9" TargetMode="External" Id="rId43" /><Relationship Type="http://schemas.openxmlformats.org/officeDocument/2006/relationships/hyperlink" Target="https://news.samsung.com/global/samsung-galaxy-z-fold8-ultra-fold8-and-flip8foldables-perfected-for-every-way-of-living" TargetMode="External" Id="rId44" /><Relationship Type="http://schemas.openxmlformats.org/officeDocument/2006/relationships/hyperlink" Target="https://news.samsung.com/global/samsung-galaxy-watch-ultra2-and-watch9-your-health-companion-on-the-wrist" TargetMode="External" Id="rId45" /><Relationship Type="http://schemas.openxmlformats.org/officeDocument/2006/relationships/hyperlink" Target="https://news.samsung.com/global/samsung-brings-galaxy-ecosystem-into-everyday-eyewear" TargetMode="External" Id="rId46" /><Relationship Type="http://schemas.openxmlformats.org/officeDocument/2006/relationships/hyperlink" Target="https://www.gov.uk/government/publications/women-in-research-charter" TargetMode="External" Id="rId47" /><Relationship Type="http://schemas.openxmlformats.org/officeDocument/2006/relationships/hyperlink" Target="https://www.energy.gov/articles/secretary-energy-chris-wright-announces-first-genesis-mission-projects-selected-accelerate" TargetMode="External" Id="rId48" /><Relationship Type="http://schemas.openxmlformats.org/officeDocument/2006/relationships/hyperlink" Target="https://cset.georgetown.edu/article/remarks-at-the-global-nobel-laureates-assembly-on-artificial-intelligence-and-nuclear-war/" TargetMode="External" Id="rId49" /><Relationship Type="http://schemas.openxmlformats.org/officeDocument/2006/relationships/hyperlink" Target="https://www.gov.uk/government/publications/consult-register-your-interest" TargetMode="External" Id="rId50" /><Relationship Type="http://schemas.openxmlformats.org/officeDocument/2006/relationships/hyperlink" Target="https://www.nsf.gov/news/statement-nsf-chief-staff-brian-stone-performing-duties-nsf-1" TargetMode="External" Id="rId51" /><Relationship Type="http://schemas.openxmlformats.org/officeDocument/2006/relationships/hyperlink" Target="https://www.nsf.gov/news/new-nsf-initiative-aims-unlock-dataset-value-ai-enabled" TargetMode="External" Id="rId52" /><Relationship Type="http://schemas.openxmlformats.org/officeDocument/2006/relationships/hyperlink" Target="https://www.nsf.gov/news/nsf-announces-83m-investment-integrated-data-systems" TargetMode="External" Id="rId53" /><Relationship Type="http://schemas.openxmlformats.org/officeDocument/2006/relationships/hyperlink" Target="https://blogs.nvidia.com/blog/medical-physics-simulation-open-source/" TargetMode="External" Id="rId54" /><Relationship Type="http://schemas.openxmlformats.org/officeDocument/2006/relationships/hyperlink" Target="https://openai.com/index/building-ai-infrastructure-with-the-effingham-county-community" TargetMode="External" Id="rId55" /><Relationship Type="http://schemas.openxmlformats.org/officeDocument/2006/relationships/hyperlink" Target="https://openai.com/index/how-news-organizations-are-using-ai" TargetMode="External" Id="rId56" /><Relationship Type="http://schemas.openxmlformats.org/officeDocument/2006/relationships/hyperlink" Target="https://blog.google/products-and-platforms/platforms/android/galaxy-unpacked-2026/" TargetMode="External" Id="rId57" /><Relationship Type="http://schemas.openxmlformats.org/officeDocument/2006/relationships/hyperlink" Target="https://www.technologyreview.com/2026/07/22/1140717/the-download-nasa-space-telescope-openai-hugging-face-hack/" TargetMode="External" Id="rId58" /><Relationship Type="http://schemas.openxmlformats.org/officeDocument/2006/relationships/hyperlink" Target="https://www.nist.gov/news-events/news/2026/07/nist-announces-funding-opportunity-14-mep-centers-advance-small-and-medium" TargetMode="External" Id="rId59" /><Relationship Type="http://schemas.openxmlformats.org/officeDocument/2006/relationships/hyperlink" Target="https://openai.com/index/advancing-the-next-era-of-national-science" TargetMode="External" Id="rId60" /><Relationship Type="http://schemas.openxmlformats.org/officeDocument/2006/relationships/hyperlink" Target="https://www.technologyreview.com/2026/07/22/1140701/shape-shifting-mirrors-roman-space-telescope/" TargetMode="External" Id="rId61" /><Relationship Type="http://schemas.openxmlformats.org/officeDocument/2006/relationships/hyperlink" Target="https://openai.com/index/introducing-openai-presence" TargetMode="External" Id="rId62" /><Relationship Type="http://schemas.openxmlformats.org/officeDocument/2006/relationships/hyperlink" Target="https://openai.com/index/ntt-data" TargetMode="External" Id="rId63" /><Relationship Type="http://schemas.openxmlformats.org/officeDocument/2006/relationships/hyperlink" Target="https://www.nature.com/articles/s41586-026-10832-w" TargetMode="External" Id="rId64" /><Relationship Type="http://schemas.openxmlformats.org/officeDocument/2006/relationships/hyperlink" Target="https://www.nature.com/articles/d41586-026-02299-6" TargetMode="External" Id="rId65" /><Relationship Type="http://schemas.openxmlformats.org/officeDocument/2006/relationships/hyperlink" Target="https://www.nature.com/articles/d41586-026-02219-8" TargetMode="External" Id="rId66" /><Relationship Type="http://schemas.openxmlformats.org/officeDocument/2006/relationships/hyperlink" Target="https://www.nature.com/articles/s41586-026-10833-9" TargetMode="External" Id="rId67" /><Relationship Type="http://schemas.openxmlformats.org/officeDocument/2006/relationships/hyperlink" Target="https://blogs.nvidia.com/blog/wistron-manufacturing-texas/" TargetMode="External" Id="rId68" /><Relationship Type="http://schemas.openxmlformats.org/officeDocument/2006/relationships/hyperlink" Target="https://www.fusionindustryassociation.org/fia-and-clean-air-task-force-publish-principles-on-codes-and-standards/?utm_source=rss&amp;utm_medium=rss&amp;utm_campaign=fia-and-clean-air-task-force-publish-principles-on-codes-and-standards" TargetMode="External" Id="rId69" /><Relationship Type="http://schemas.openxmlformats.org/officeDocument/2006/relationships/hyperlink" Target="https://openai.com/index/introducing-chatgpt-small-business-program" TargetMode="External" Id="rId70" /><Relationship Type="http://schemas.openxmlformats.org/officeDocument/2006/relationships/hyperlink" Target="https://blogs.nvidia.com/blog/vera-rubin/" TargetMode="External" Id="rId71" /><Relationship Type="http://schemas.openxmlformats.org/officeDocument/2006/relationships/hyperlink" Target="https://www.gov.uk/government/publications/dsit-workforce-management-information-june-2026" TargetMode="External" Id="rId72" /><Relationship Type="http://schemas.openxmlformats.org/officeDocument/2006/relationships/hyperlink" Target="https://www.gov.uk/government/publications/techlocal" TargetMode="External" Id="rId73" /><Relationship Type="http://schemas.openxmlformats.org/officeDocument/2006/relationships/hyperlink" Target="https://www.gov.uk/guidance/techexpert" TargetMode="External" Id="rId74" /><Relationship Type="http://schemas.openxmlformats.org/officeDocument/2006/relationships/hyperlink" Target="https://www.gov.uk/guidance/techfirst" TargetMode="External" Id="rId75" /><Relationship Type="http://schemas.openxmlformats.org/officeDocument/2006/relationships/hyperlink" Target="https://www.gov.uk/government/publications/fixed-telecoms-modernisation-charter" TargetMode="External" Id="rId76" /><Relationship Type="http://schemas.openxmlformats.org/officeDocument/2006/relationships/hyperlink" Target="https://blogs.nvidia.com/blog/nvidia-spectrum-six-arrives-in-gigascale-ai-factories/" TargetMode="External" Id="rId77" /><Relationship Type="http://schemas.openxmlformats.org/officeDocument/2006/relationships/hyperlink" Target="https://www.fusionindustryassociation.org/fia-outlines-eu-financing-pathway-for-fusion/?utm_source=rss&amp;utm_medium=rss&amp;utm_campaign=fia-outlines-eu-financing-pathway-for-fusion" TargetMode="External" Id="rId78" /><Relationship Type="http://schemas.openxmlformats.org/officeDocument/2006/relationships/hyperlink" Target="https://cset.georgetown.edu/article/why-do-ai-systems-misbehave/" TargetMode="External" Id="rId79" /><Relationship Type="http://schemas.openxmlformats.org/officeDocument/2006/relationships/hyperlink" Target="https://blogs.nvidia.com/blog/nvidia-and-partners-build-in-america-for-america/" TargetMode="External" Id="rId80" /><Relationship Type="http://schemas.openxmlformats.org/officeDocument/2006/relationships/hyperlink" Target="https://newsroom.intel.com/manufacturing/intel-and-fortinet-collaborate-to-advance-cybersecurity-innovation-and-strengthen-global-supply-chain-resilience" TargetMode="External" Id="rId81" /><Relationship Type="http://schemas.openxmlformats.org/officeDocument/2006/relationships/hyperlink" Target="https://www.technologyreview.com/2026/07/21/1140685/the-download-chinese-ai-divides-white-house-anthropic-copyright-settlement/" TargetMode="External" Id="rId82" /><Relationship Type="http://schemas.openxmlformats.org/officeDocument/2006/relationships/hyperlink" Target="https://www.technologyreview.com/2026/07/21/1140602/advancing-next-gen-ai-with-materials-science-innovation/" TargetMode="External" Id="rId83" /><Relationship Type="http://schemas.openxmlformats.org/officeDocument/2006/relationships/hyperlink" Target="https://www.who.int/news/item/21-07-2026-un-report--global-hunger-levels-ease-for-third-consecutive-year-as-regional-disparities-persist" TargetMode="External" Id="rId84" /><Relationship Type="http://schemas.openxmlformats.org/officeDocument/2006/relationships/hyperlink" Target="https://openai.com/index/hugging-face-model-evaluation-security-incident" TargetMode="External" Id="rId85" /><Relationship Type="http://schemas.openxmlformats.org/officeDocument/2006/relationships/hyperlink" Target="https://event.on24.com/wcc/r/5418459/287E3D5B99470D34C830D69A24B3B207" TargetMode="External" Id="rId86" /><Relationship Type="http://schemas.openxmlformats.org/officeDocument/2006/relationships/hyperlink" Target="https://www.who.int/news/item/21-07-2026-who-marks-25-years-of-research4life--advancing-access-to-scientific-knowledge-in-more-than-120-countries" TargetMode="External" Id="rId87" /><Relationship Type="http://schemas.openxmlformats.org/officeDocument/2006/relationships/hyperlink" Target="https://www.who.int/news/item/20-07-2026-road-deaths-fall-by-21--globally-but-stronger-action-is-needed-to-save-lives" TargetMode="External" Id="rId88" /><Relationship Type="http://schemas.openxmlformats.org/officeDocument/2006/relationships/hyperlink" Target="https://www.who.int/news/item/20-07-2026-who-member-states-continue-negotiations-on-the-pathogen-access-and-benefit-sharing-annex" TargetMode="External" Id="rId89" /><Relationship Type="http://schemas.openxmlformats.org/officeDocument/2006/relationships/hyperlink" Target="https://www.fusionindustryassociation.org/fia-launches-the-2026-global-fusion-industry-report-in-new-york-city-washington-d-c-and-london/?utm_source=rss&amp;utm_medium=rss&amp;utm_campaign=fia-launches-the-2026-global-fusion-industry-report-in-new-york-city-washington-d-c-and-london" TargetMode="External" Id="rId90" /><Relationship Type="http://schemas.openxmlformats.org/officeDocument/2006/relationships/hyperlink" Target="https://www.fusionindustryassociation.org/international-legal-expert-group-publish-paper-on-the-need-for-the-eu-to-secure-its-competitive-fusion-advantage/?utm_source=rss&amp;utm_medium=rss&amp;utm_campaign=international-legal-expert-group-publish-paper-on-the-need-for-the-eu-to-secure-its-competitive-fusion-advantage" TargetMode="External" Id="rId91" /><Relationship Type="http://schemas.openxmlformats.org/officeDocument/2006/relationships/hyperlink" Target="https://spectrum.ieee.org/graduate-student-nasas-robots-assembly" TargetMode="External" Id="rId92" /><Relationship Type="http://schemas.openxmlformats.org/officeDocument/2006/relationships/hyperlink" Target="https://newsroom.intel.com/client-computing/intel-powered-medical-exoskeleton-helps-patients-get-back-on-their-feet" TargetMode="External" Id="rId93" /><Relationship Type="http://schemas.openxmlformats.org/officeDocument/2006/relationships/hyperlink" Target="https://newsroom.intel.com/artificial-intelligence/intel-google-cloud-announce-collaboration-to-accelerate-intel-ai-enabled-enterprise-transformation" TargetMode="External" Id="rId94" /><Relationship Type="http://schemas.openxmlformats.org/officeDocument/2006/relationships/hyperlink" Target="https://blog.google/products-and-platforms/products/search/connected-apps/" TargetMode="External" Id="rId95" /><Relationship Type="http://schemas.openxmlformats.org/officeDocument/2006/relationships/hyperlink" Target="https://blog.google/products-and-platforms/products/workspace/gemini-omni-personal-avatars/" TargetMode="External" Id="rId96" /><Relationship Type="http://schemas.openxmlformats.org/officeDocument/2006/relationships/hyperlink" Target="https://cset.georgetown.edu/article/meet-gpt-red-an-llm-super-hacker-openai-built-to-make-its-models-safer/" TargetMode="External" Id="rId97" /><Relationship Type="http://schemas.openxmlformats.org/officeDocument/2006/relationships/hyperlink" Target="https://www.nikkei.com/article/DGXZQOUC152ET0V10C26A7000000/#new_tab?utm_source=rss&amp;utm_medium=rss&amp;utm_campaign=starlight-engine-raises-jpy-6-06-billion" TargetMode="External" Id="rId98" /><Relationship Type="http://schemas.openxmlformats.org/officeDocument/2006/relationships/hyperlink" Target="https://www.jsonline.com/story/money/business/energy/2026/07/15/nuclear-fusion-facility-coming-to-madisons-oscar-mayer-factory-site/90900554007/?gnt-cfr=1&amp;gca-cat=p&amp;gca-uir=true&amp;gca-epti=z116463p117850l004150c117850e1157xxv116463d--54--b--54--&amp;gca-ft=178&amp;gca-ds=sophi#new_tab&amp;utm_source=rss&amp;utm_medium=rss&amp;utm_campaign=fusion-research-center-coming-to-madisons-former-oscar-mayer-plant" TargetMode="External" Id="rId99" /><Relationship Type="http://schemas.openxmlformats.org/officeDocument/2006/relationships/hyperlink" Target="https://www.who.int/news/item/15-07-2026-new-who-guidelines--up-to-45--of-dementia-risk-could-be-prevented-or-delayed" TargetMode="External" Id="rId100" /><Relationship Type="http://schemas.openxmlformats.org/officeDocument/2006/relationships/hyperlink" Target="https://www.who.int/news/item/15-07-2026-global-childhood-immunization-coverage-inches-forward-despite-conflict-and-hesitancy---unicef--who" TargetMode="External" Id="rId101" /><Relationship Type="http://schemas.openxmlformats.org/officeDocument/2006/relationships/hyperlink" Target="https://www.bloomberg.com/news/articles/2026-07-13/global-investment-in-fusion-companies-surges-69-to-4-5-billion#new_tab?utm_source=rss&amp;utm_medium=rss&amp;utm_campaign=global-investment-in-fusion-companies-surges-69-to-4-5-billion" TargetMode="External" Id="rId102" /><Relationship Type="http://schemas.openxmlformats.org/officeDocument/2006/relationships/hyperlink" Target="https://www.wsj.com/livecoverage/stock-market-today-bank-earnings-07-14-2026/card/general-fusion-shares-soar-25--lfmTDvoKe8UYxvdcs8Hq#new_tab?utm_source=rss&amp;utm_medium=rss&amp;utm_campaign=general-fusion-shares-soar-25" TargetMode="External" Id="rId103" /><Relationship Type="http://schemas.openxmlformats.org/officeDocument/2006/relationships/hyperlink" Target="https://blog.google/products-and-platforms/products/search/google-images-25th-anniversary/" TargetMode="External" Id="rId104" /><Relationship Type="http://schemas.openxmlformats.org/officeDocument/2006/relationships/hyperlink" Target="https://www.nist.gov/news-events/news/2026/07/nist-receives-new-patent-microbe-killing-water-heater" TargetMode="External" Id="rId105" /><Relationship Type="http://schemas.openxmlformats.org/officeDocument/2006/relationships/hyperlink" Target="https://cset.georgetown.edu/article/washington-is-looking-to-keep-china-from-training-its-ai-on-us-models/" TargetMode="External" Id="rId106" /><Relationship Type="http://schemas.openxmlformats.org/officeDocument/2006/relationships/hyperlink" Target="https://www.microsoft.com/en-us/research/blog/verifying-rust-cryptography-in-symcrypt-from-standards-to-code/" TargetMode="External" Id="rId107" /><Relationship Type="http://schemas.openxmlformats.org/officeDocument/2006/relationships/hyperlink" Target="https://newsroom.intel.com/intel-foundry/intel-invests-5-billion-euro-to-expand-manufacturing-in-europe" TargetMode="External" Id="rId108" /><Relationship Type="http://schemas.openxmlformats.org/officeDocument/2006/relationships/hyperlink" Target="https://spectrum.ieee.org/x-square-robot-embodied-ai-stack" TargetMode="External" Id="rId109" /><Relationship Type="http://schemas.openxmlformats.org/officeDocument/2006/relationships/hyperlink" Target="https://www.who.int/news/item/13-07-2026-el-salvador-validated-by-who-as-having-eliminated-trachoma-as-a-public-health-problem" TargetMode="External" Id="rId110" /><Relationship Type="http://schemas.openxmlformats.org/officeDocument/2006/relationships/hyperlink" Target="https://cset.georgetown.edu/article/companies-turn-to-chinese-ai-models-to-cut-costs/" TargetMode="External" Id="rId111" /><Relationship Type="http://schemas.openxmlformats.org/officeDocument/2006/relationships/table" Target="/xl/tables/table1.xml" Id="rId112" /></Relationships>
</file>

<file path=xl/worksheets/_rels/sheet3.xml.rels><Relationships xmlns="http://schemas.openxmlformats.org/package/2006/relationships"><Relationship Type="http://schemas.openxmlformats.org/officeDocument/2006/relationships/hyperlink" Target="https://www.bloomberg.com/feeds/technology/news.rss" TargetMode="External" Id="rId1" /><Relationship Type="http://schemas.openxmlformats.org/officeDocument/2006/relationships/hyperlink" Target="https://www.bloomberg.com/technology" TargetMode="External" Id="rId2" /><Relationship Type="http://schemas.openxmlformats.org/officeDocument/2006/relationships/hyperlink" Target="https://feeds.bbci.co.uk/news/science_and_environment/rss.xml" TargetMode="External" Id="rId3" /><Relationship Type="http://schemas.openxmlformats.org/officeDocument/2006/relationships/hyperlink" Target="https://www.bbc.com/news/science_and_environment" TargetMode="External" Id="rId4" /><Relationship Type="http://schemas.openxmlformats.org/officeDocument/2006/relationships/hyperlink" Target="https://www.theguardian.com/technology/rss" TargetMode="External" Id="rId5" /><Relationship Type="http://schemas.openxmlformats.org/officeDocument/2006/relationships/hyperlink" Target="https://www.theguardian.com/technology" TargetMode="External" Id="rId6" /><Relationship Type="http://schemas.openxmlformats.org/officeDocument/2006/relationships/hyperlink" Target="https://www.technologyreview.com/feed/" TargetMode="External" Id="rId7" /><Relationship Type="http://schemas.openxmlformats.org/officeDocument/2006/relationships/hyperlink" Target="https://www.technologyreview.com/" TargetMode="External" Id="rId8" /><Relationship Type="http://schemas.openxmlformats.org/officeDocument/2006/relationships/hyperlink" Target="https://spectrum.ieee.org/feeds/feed.rss" TargetMode="External" Id="rId9" /><Relationship Type="http://schemas.openxmlformats.org/officeDocument/2006/relationships/hyperlink" Target="https://spectrum.ieee.org/" TargetMode="External" Id="rId10" /><Relationship Type="http://schemas.openxmlformats.org/officeDocument/2006/relationships/hyperlink" Target="https://www.nature.com/nature.rss" TargetMode="External" Id="rId11" /><Relationship Type="http://schemas.openxmlformats.org/officeDocument/2006/relationships/hyperlink" Target="https://www.nature.com/" TargetMode="External" Id="rId12" /><Relationship Type="http://schemas.openxmlformats.org/officeDocument/2006/relationships/hyperlink" Target="https://www.science.org/action/showFeed?type=etoc&amp;feed=rss&amp;jc=science" TargetMode="External" Id="rId13" /><Relationship Type="http://schemas.openxmlformats.org/officeDocument/2006/relationships/hyperlink" Target="https://www.science.org/" TargetMode="External" Id="rId14" /><Relationship Type="http://schemas.openxmlformats.org/officeDocument/2006/relationships/hyperlink" Target="https://www.scmp.com/rss/91/feed" TargetMode="External" Id="rId15" /><Relationship Type="http://schemas.openxmlformats.org/officeDocument/2006/relationships/hyperlink" Target="https://www.scmp.com/tech" TargetMode="External" Id="rId16" /><Relationship Type="http://schemas.openxmlformats.org/officeDocument/2006/relationships/hyperlink" Target="https://www.arabnews.com/taxonomy/term/2936/feed" TargetMode="External" Id="rId17" /><Relationship Type="http://schemas.openxmlformats.org/officeDocument/2006/relationships/hyperlink" Target="https://www.arabnews.com/tags/technology" TargetMode="External" Id="rId18" /><Relationship Type="http://schemas.openxmlformats.org/officeDocument/2006/relationships/hyperlink" Target="https://www.thenationalnews.com/arc/outboundfeeds/rss/category/future/technology/?outputType=xml" TargetMode="External" Id="rId19" /><Relationship Type="http://schemas.openxmlformats.org/officeDocument/2006/relationships/hyperlink" Target="https://www.thenationalnews.com/future/technology/" TargetMode="External" Id="rId20" /><Relationship Type="http://schemas.openxmlformats.org/officeDocument/2006/relationships/hyperlink" Target="https://www.brookings.edu/tags/techtank/" TargetMode="External" Id="rId21" /><Relationship Type="http://schemas.openxmlformats.org/officeDocument/2006/relationships/hyperlink" Target="https://www.brookings.edu/tags/techtank/" TargetMode="External" Id="rId22" /><Relationship Type="http://schemas.openxmlformats.org/officeDocument/2006/relationships/hyperlink" Target="https://www.csis.org/rss.xml" TargetMode="External" Id="rId23" /><Relationship Type="http://schemas.openxmlformats.org/officeDocument/2006/relationships/hyperlink" Target="https://www.csis.org/analysis" TargetMode="External" Id="rId24" /><Relationship Type="http://schemas.openxmlformats.org/officeDocument/2006/relationships/hyperlink" Target="https://cset.georgetown.edu/feed/" TargetMode="External" Id="rId25" /><Relationship Type="http://schemas.openxmlformats.org/officeDocument/2006/relationships/hyperlink" Target="https://cset.georgetown.edu/" TargetMode="External" Id="rId26" /><Relationship Type="http://schemas.openxmlformats.org/officeDocument/2006/relationships/hyperlink" Target="https://www.bruegel.org/rss.xml" TargetMode="External" Id="rId27" /><Relationship Type="http://schemas.openxmlformats.org/officeDocument/2006/relationships/hyperlink" Target="https://www.bruegel.org/" TargetMode="External" Id="rId28" /><Relationship Type="http://schemas.openxmlformats.org/officeDocument/2006/relationships/hyperlink" Target="https://merics.org/en/rss.xml" TargetMode="External" Id="rId29" /><Relationship Type="http://schemas.openxmlformats.org/officeDocument/2006/relationships/hyperlink" Target="https://merics.org/en" TargetMode="External" Id="rId30" /><Relationship Type="http://schemas.openxmlformats.org/officeDocument/2006/relationships/hyperlink" Target="https://www.nsf.gov/rss/rss_www_news.xml" TargetMode="External" Id="rId31" /><Relationship Type="http://schemas.openxmlformats.org/officeDocument/2006/relationships/hyperlink" Target="https://www.nsf.gov/news" TargetMode="External" Id="rId32" /><Relationship Type="http://schemas.openxmlformats.org/officeDocument/2006/relationships/hyperlink" Target="https://www.nist.gov/news-events/news/rss.xml" TargetMode="External" Id="rId33" /><Relationship Type="http://schemas.openxmlformats.org/officeDocument/2006/relationships/hyperlink" Target="https://www.nist.gov/news-events/news" TargetMode="External" Id="rId34" /><Relationship Type="http://schemas.openxmlformats.org/officeDocument/2006/relationships/hyperlink" Target="https://www.nih.gov/news-events/news-releases/rss.xml" TargetMode="External" Id="rId35" /><Relationship Type="http://schemas.openxmlformats.org/officeDocument/2006/relationships/hyperlink" Target="https://www.nih.gov/news-events/news-releases" TargetMode="External" Id="rId36" /><Relationship Type="http://schemas.openxmlformats.org/officeDocument/2006/relationships/hyperlink" Target="https://www.energy.gov/rss/science/3662436" TargetMode="External" Id="rId37" /><Relationship Type="http://schemas.openxmlformats.org/officeDocument/2006/relationships/hyperlink" Target="https://www.energy.gov/science/listings/office-science-news" TargetMode="External" Id="rId38" /><Relationship Type="http://schemas.openxmlformats.org/officeDocument/2006/relationships/hyperlink" Target="https://ec.europa.eu/commission/presscorner/api/rss?language=en&amp;documenttype=press_release" TargetMode="External" Id="rId39" /><Relationship Type="http://schemas.openxmlformats.org/officeDocument/2006/relationships/hyperlink" Target="https://ec.europa.eu/commission/presscorner/home/en" TargetMode="External" Id="rId40" /><Relationship Type="http://schemas.openxmlformats.org/officeDocument/2006/relationships/hyperlink" Target="https://www.gov.uk/government/organisations/department-for-science-innovation-and-technology.atom" TargetMode="External" Id="rId41" /><Relationship Type="http://schemas.openxmlformats.org/officeDocument/2006/relationships/hyperlink" Target="https://www.gov.uk/government/organisations/department-for-science-innovation-and-technology" TargetMode="External" Id="rId42" /><Relationship Type="http://schemas.openxmlformats.org/officeDocument/2006/relationships/hyperlink" Target="https://www.meti.go.jp/english/press/index.rdf" TargetMode="External" Id="rId43" /><Relationship Type="http://schemas.openxmlformats.org/officeDocument/2006/relationships/hyperlink" Target="https://www.meti.go.jp/english/press/index.html" TargetMode="External" Id="rId44" /><Relationship Type="http://schemas.openxmlformats.org/officeDocument/2006/relationships/hyperlink" Target="https://www.who.int/rss-feeds/news-english.xml" TargetMode="External" Id="rId45" /><Relationship Type="http://schemas.openxmlformats.org/officeDocument/2006/relationships/hyperlink" Target="https://www.who.int/news" TargetMode="External" Id="rId46" /><Relationship Type="http://schemas.openxmlformats.org/officeDocument/2006/relationships/hyperlink" Target="https://www.iea.org/rss/news.xml" TargetMode="External" Id="rId47" /><Relationship Type="http://schemas.openxmlformats.org/officeDocument/2006/relationships/hyperlink" Target="https://www.iea.org/news" TargetMode="External" Id="rId48" /><Relationship Type="http://schemas.openxmlformats.org/officeDocument/2006/relationships/hyperlink" Target="https://www.oecd.org/newsroom/rss.xml" TargetMode="External" Id="rId49" /><Relationship Type="http://schemas.openxmlformats.org/officeDocument/2006/relationships/hyperlink" Target="https://www.oecd.org/newsroom/" TargetMode="External" Id="rId50" /><Relationship Type="http://schemas.openxmlformats.org/officeDocument/2006/relationships/hyperlink" Target="https://openai.com/news/rss.xml" TargetMode="External" Id="rId51" /><Relationship Type="http://schemas.openxmlformats.org/officeDocument/2006/relationships/hyperlink" Target="https://openai.com/news/" TargetMode="External" Id="rId52" /><Relationship Type="http://schemas.openxmlformats.org/officeDocument/2006/relationships/hyperlink" Target="https://blog.google/technology/ai/rss/" TargetMode="External" Id="rId53" /><Relationship Type="http://schemas.openxmlformats.org/officeDocument/2006/relationships/hyperlink" Target="https://blog.google/technology/ai/" TargetMode="External" Id="rId54" /><Relationship Type="http://schemas.openxmlformats.org/officeDocument/2006/relationships/hyperlink" Target="https://blogs.nvidia.com/feed/" TargetMode="External" Id="rId55" /><Relationship Type="http://schemas.openxmlformats.org/officeDocument/2006/relationships/hyperlink" Target="https://blogs.nvidia.com/" TargetMode="External" Id="rId56" /><Relationship Type="http://schemas.openxmlformats.org/officeDocument/2006/relationships/hyperlink" Target="https://newsroom.intel.com/feed" TargetMode="External" Id="rId57" /><Relationship Type="http://schemas.openxmlformats.org/officeDocument/2006/relationships/hyperlink" Target="https://newsroom.intel.com/" TargetMode="External" Id="rId58" /><Relationship Type="http://schemas.openxmlformats.org/officeDocument/2006/relationships/hyperlink" Target="https://research.ibm.com/blog/rss.xml" TargetMode="External" Id="rId59" /><Relationship Type="http://schemas.openxmlformats.org/officeDocument/2006/relationships/hyperlink" Target="https://research.ibm.com/blog" TargetMode="External" Id="rId60" /><Relationship Type="http://schemas.openxmlformats.org/officeDocument/2006/relationships/hyperlink" Target="https://www.microsoft.com/en-us/research/feed/" TargetMode="External" Id="rId61" /><Relationship Type="http://schemas.openxmlformats.org/officeDocument/2006/relationships/hyperlink" Target="https://www.microsoft.com/en-us/research/blog/" TargetMode="External" Id="rId62" /><Relationship Type="http://schemas.openxmlformats.org/officeDocument/2006/relationships/hyperlink" Target="https://news.samsung.com/global/feed" TargetMode="External" Id="rId63" /><Relationship Type="http://schemas.openxmlformats.org/officeDocument/2006/relationships/hyperlink" Target="https://news.samsung.com/global/" TargetMode="External" Id="rId64" /><Relationship Type="http://schemas.openxmlformats.org/officeDocument/2006/relationships/hyperlink" Target="https://www.iter.org/news" TargetMode="External" Id="rId65" /><Relationship Type="http://schemas.openxmlformats.org/officeDocument/2006/relationships/hyperlink" Target="https://www.iter.org/news" TargetMode="External" Id="rId66" /><Relationship Type="http://schemas.openxmlformats.org/officeDocument/2006/relationships/hyperlink" Target="https://www.fusionindustryassociation.org/feed/" TargetMode="External" Id="rId67" /><Relationship Type="http://schemas.openxmlformats.org/officeDocument/2006/relationships/hyperlink" Target="https://www.fusionindustryassociation.org/" TargetMode="External" Id="rId68" /><Relationship Type="http://schemas.openxmlformats.org/officeDocument/2006/relationships/table" Target="/xl/tables/table2.xml" Id="rId69"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sheet1.xml><?xml version="1.0" encoding="utf-8"?>
<worksheet xmlns="http://schemas.openxmlformats.org/spreadsheetml/2006/main">
  <sheetPr>
    <outlinePr summaryBelow="1" summaryRight="1"/>
    <pageSetUpPr/>
  </sheetPr>
  <dimension ref="A1:H18"/>
  <sheetViews>
    <sheetView showGridLines="0" workbookViewId="0">
      <selection activeCell="A1" sqref="A1"/>
    </sheetView>
  </sheetViews>
  <sheetFormatPr baseColWidth="8" defaultRowHeight="15"/>
  <cols>
    <col width="22" customWidth="1" min="1" max="1"/>
    <col width="16" customWidth="1" min="2" max="2"/>
    <col width="3" customWidth="1" min="3" max="3"/>
    <col width="24" customWidth="1" min="4" max="4"/>
    <col width="12" customWidth="1" min="5" max="5"/>
    <col width="3" customWidth="1" min="6" max="6"/>
    <col width="30" customWidth="1" min="7" max="7"/>
    <col width="12" customWidth="1" min="8" max="8"/>
  </cols>
  <sheetData>
    <row r="1" ht="34" customHeight="1">
      <c r="A1" s="4" t="inlineStr">
        <is>
          <t>World Innovation Brief</t>
        </is>
      </c>
    </row>
    <row r="2" ht="25" customHeight="1">
      <c r="A2" s="67" t="inlineStr">
        <is>
          <t>Global innovation policy and emerging-technology ledger</t>
        </is>
      </c>
      <c r="B2" s="68" t="n"/>
      <c r="C2" s="68" t="n"/>
      <c r="D2" s="68" t="n"/>
      <c r="E2" s="68" t="n"/>
      <c r="F2" s="68" t="n"/>
      <c r="G2" s="68" t="n"/>
      <c r="H2" s="69" t="n"/>
    </row>
    <row r="3">
      <c r="A3" s="46" t="n"/>
      <c r="B3" s="46" t="n"/>
      <c r="C3" s="46" t="n"/>
      <c r="D3" s="46" t="n"/>
      <c r="E3" s="46" t="n"/>
      <c r="F3" s="46" t="n"/>
      <c r="G3" s="46" t="n"/>
      <c r="H3" s="46" t="n"/>
    </row>
    <row r="4" ht="26" customHeight="1">
      <c r="A4" s="19" t="inlineStr">
        <is>
          <t>Operations</t>
        </is>
      </c>
      <c r="C4" s="46" t="n"/>
      <c r="D4" s="19" t="inlineStr">
        <is>
          <t>By region</t>
        </is>
      </c>
      <c r="F4" s="46" t="n"/>
      <c r="G4" s="19" t="inlineStr">
        <is>
          <t>By topic</t>
        </is>
      </c>
    </row>
    <row r="5">
      <c r="A5" s="28" t="inlineStr">
        <is>
          <t>Last update (JST)</t>
        </is>
      </c>
      <c r="B5" s="25" t="inlineStr">
        <is>
          <t>2026-07-26T20:00:03+09:00</t>
        </is>
      </c>
      <c r="C5" s="46" t="n"/>
      <c r="D5" s="25" t="inlineStr">
        <is>
          <t>United States</t>
        </is>
      </c>
      <c r="E5" s="70">
        <f>COUNTIF('News Ledger'!$C$4:$C$10003,D5)</f>
        <v/>
      </c>
      <c r="F5" s="46" t="n"/>
      <c r="G5" s="25" t="inlineStr">
        <is>
          <t>Innovation Policy</t>
        </is>
      </c>
      <c r="H5" s="70">
        <f>COUNTIF('News Ledger'!$E$4:$E$10003,"*Innovation Policy*")</f>
        <v/>
      </c>
    </row>
    <row r="6">
      <c r="A6" s="29" t="inlineStr">
        <is>
          <t>Ledger articles</t>
        </is>
      </c>
      <c r="B6" s="71">
        <f>COUNTA('News Ledger'!$I$4:$I$10003)</f>
        <v/>
      </c>
      <c r="C6" s="46" t="n"/>
      <c r="D6" s="26" t="inlineStr">
        <is>
          <t>Asia</t>
        </is>
      </c>
      <c r="E6" s="72">
        <f>COUNTIF('News Ledger'!$C$4:$C$10003,D6)</f>
        <v/>
      </c>
      <c r="F6" s="46" t="n"/>
      <c r="G6" s="26" t="inlineStr">
        <is>
          <t>Artificial Intelligence</t>
        </is>
      </c>
      <c r="H6" s="72">
        <f>COUNTIF('News Ledger'!$E$4:$E$10003,"*Artificial Intelligence*")</f>
        <v/>
      </c>
    </row>
    <row r="7">
      <c r="A7" s="29" t="inlineStr">
        <is>
          <t>Policy score 3+</t>
        </is>
      </c>
      <c r="B7" s="71">
        <f>COUNTIF('News Ledger'!$F$4:$F$10003,"&gt;=3")</f>
        <v/>
      </c>
      <c r="C7" s="46" t="n"/>
      <c r="D7" s="26" t="inlineStr">
        <is>
          <t>EU &amp; Europe</t>
        </is>
      </c>
      <c r="E7" s="72">
        <f>COUNTIF('News Ledger'!$C$4:$C$10003,D7)</f>
        <v/>
      </c>
      <c r="F7" s="46" t="n"/>
      <c r="G7" s="26" t="inlineStr">
        <is>
          <t>Robotics</t>
        </is>
      </c>
      <c r="H7" s="72">
        <f>COUNTIF('News Ledger'!$E$4:$E$10003,"*Robotics*")</f>
        <v/>
      </c>
    </row>
    <row r="8">
      <c r="A8" s="30" t="inlineStr">
        <is>
          <t>Active sources</t>
        </is>
      </c>
      <c r="B8" s="71">
        <f>COUNTIF('Source Registry'!$A$4:$A$103,"Yes")</f>
        <v/>
      </c>
      <c r="C8" s="46" t="n"/>
      <c r="D8" s="26" t="inlineStr">
        <is>
          <t>Middle East</t>
        </is>
      </c>
      <c r="E8" s="72">
        <f>COUNTIF('News Ledger'!$C$4:$C$10003,D8)</f>
        <v/>
      </c>
      <c r="F8" s="46" t="n"/>
      <c r="G8" s="26" t="inlineStr">
        <is>
          <t>Semiconductors &amp; Telecom</t>
        </is>
      </c>
      <c r="H8" s="72">
        <f>COUNTIF('News Ledger'!$E$4:$E$10003,"*Semiconductors &amp; Telecom*")</f>
        <v/>
      </c>
    </row>
    <row r="9">
      <c r="A9" s="46" t="n"/>
      <c r="B9" s="46" t="n"/>
      <c r="C9" s="46" t="n"/>
      <c r="D9" s="27" t="inlineStr">
        <is>
          <t>Global</t>
        </is>
      </c>
      <c r="E9" s="73">
        <f>COUNTIF('News Ledger'!$C$4:$C$10003,D9)</f>
        <v/>
      </c>
      <c r="F9" s="46" t="n"/>
      <c r="G9" s="26" t="inlineStr">
        <is>
          <t>Quantum</t>
        </is>
      </c>
      <c r="H9" s="72">
        <f>COUNTIF('News Ledger'!$E$4:$E$10003,"*Quantum*")</f>
        <v/>
      </c>
    </row>
    <row r="10">
      <c r="A10" s="46" t="n"/>
      <c r="B10" s="46" t="n"/>
      <c r="C10" s="46" t="n"/>
      <c r="D10" s="46" t="n"/>
      <c r="E10" s="46" t="n"/>
      <c r="F10" s="46" t="n"/>
      <c r="G10" s="26" t="inlineStr">
        <is>
          <t>Fusion Energy</t>
        </is>
      </c>
      <c r="H10" s="72">
        <f>COUNTIF('News Ledger'!$E$4:$E$10003,"*Fusion Energy*")</f>
        <v/>
      </c>
    </row>
    <row r="11">
      <c r="A11" s="46" t="n"/>
      <c r="B11" s="46" t="n"/>
      <c r="C11" s="46" t="n"/>
      <c r="D11" s="46" t="n"/>
      <c r="E11" s="46" t="n"/>
      <c r="F11" s="46" t="n"/>
      <c r="G11" s="26" t="inlineStr">
        <is>
          <t>Biotechnology</t>
        </is>
      </c>
      <c r="H11" s="72">
        <f>COUNTIF('News Ledger'!$E$4:$E$10003,"*Biotechnology*")</f>
        <v/>
      </c>
    </row>
    <row r="12">
      <c r="A12" s="46" t="n"/>
      <c r="B12" s="46" t="n"/>
      <c r="C12" s="46" t="n"/>
      <c r="D12" s="46" t="n"/>
      <c r="E12" s="46" t="n"/>
      <c r="F12" s="46" t="n"/>
      <c r="G12" s="27" t="inlineStr">
        <is>
          <t>Healthcare</t>
        </is>
      </c>
      <c r="H12" s="73">
        <f>COUNTIF('News Ledger'!$E$4:$E$10003,"*Healthcare*")</f>
        <v/>
      </c>
    </row>
    <row r="13">
      <c r="A13" s="46" t="n"/>
      <c r="B13" s="46" t="n"/>
      <c r="C13" s="46" t="n"/>
      <c r="D13" s="46" t="n"/>
      <c r="E13" s="46" t="n"/>
      <c r="F13" s="46" t="n"/>
      <c r="G13" s="46" t="n"/>
      <c r="H13" s="46" t="n"/>
    </row>
    <row r="14" ht="26" customHeight="1">
      <c r="A14" s="43" t="inlineStr">
        <is>
          <t>How to use this ledger</t>
        </is>
      </c>
    </row>
    <row r="15" ht="28" customHeight="1">
      <c r="A15" s="45" t="inlineStr">
        <is>
          <t>1. Filter News Ledger by region, topic, and source; verify details at the original URL.</t>
        </is>
      </c>
      <c r="B15" s="74" t="n"/>
      <c r="C15" s="74" t="n"/>
      <c r="D15" s="74" t="n"/>
      <c r="E15" s="74" t="n"/>
      <c r="F15" s="74" t="n"/>
      <c r="G15" s="74" t="n"/>
      <c r="H15" s="74" t="n"/>
    </row>
    <row r="16" ht="28" customHeight="1">
      <c r="A16" s="45" t="inlineStr">
        <is>
          <t>2. Policy relevance is scored 0–5 from source type and policy terms.</t>
        </is>
      </c>
      <c r="B16" s="74" t="n"/>
      <c r="C16" s="74" t="n"/>
      <c r="D16" s="74" t="n"/>
      <c r="E16" s="74" t="n"/>
      <c r="F16" s="74" t="n"/>
      <c r="G16" s="74" t="n"/>
      <c r="H16" s="74" t="n"/>
    </row>
    <row r="17" ht="28" customHeight="1">
      <c r="A17" s="45" t="inlineStr">
        <is>
          <t>3. Canonical URLs and title fingerprints remove repeat coverage.</t>
        </is>
      </c>
      <c r="B17" s="74" t="n"/>
      <c r="C17" s="74" t="n"/>
      <c r="D17" s="74" t="n"/>
      <c r="E17" s="74" t="n"/>
      <c r="F17" s="74" t="n"/>
      <c r="G17" s="74" t="n"/>
      <c r="H17" s="74" t="n"/>
    </row>
    <row r="18" ht="28" customHeight="1">
      <c r="A18" s="45" t="inlineStr">
        <is>
          <t>4. Source Registry is an allowlist; anonymous blogs and content farms are excluded.</t>
        </is>
      </c>
      <c r="B18" s="74" t="n"/>
      <c r="C18" s="74" t="n"/>
      <c r="D18" s="74" t="n"/>
      <c r="E18" s="74" t="n"/>
      <c r="F18" s="74" t="n"/>
      <c r="G18" s="74" t="n"/>
      <c r="H18" s="74" t="n"/>
    </row>
  </sheetData>
  <mergeCells count="10">
    <mergeCell ref="A4:B4"/>
    <mergeCell ref="G4:H4"/>
    <mergeCell ref="A18:H18"/>
    <mergeCell ref="A15:H15"/>
    <mergeCell ref="A2:H2"/>
    <mergeCell ref="A16:H16"/>
    <mergeCell ref="D4:E4"/>
    <mergeCell ref="A14:H14"/>
    <mergeCell ref="A1:H1"/>
    <mergeCell ref="A17:H17"/>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O114"/>
  <sheetViews>
    <sheetView showGridLines="0" workbookViewId="0">
      <selection activeCell="A1" sqref="A1"/>
    </sheetView>
  </sheetViews>
  <sheetFormatPr baseColWidth="8" defaultRowHeight="15"/>
  <cols>
    <col width="20" customWidth="1" min="1" max="1"/>
    <col width="20" customWidth="1" min="2" max="2"/>
    <col width="18" customWidth="1" min="3" max="3"/>
    <col width="18" customWidth="1" min="4" max="4"/>
    <col width="28" customWidth="1" min="5" max="5"/>
    <col width="16" customWidth="1" min="6" max="6"/>
    <col width="22" customWidth="1" min="7" max="7"/>
    <col width="27" customWidth="1" min="8" max="8"/>
    <col width="56" customWidth="1" min="9" max="9"/>
    <col width="72" customWidth="1" min="10" max="10"/>
    <col width="48" customWidth="1" min="11" max="11"/>
    <col width="25" customWidth="1" min="12" max="12"/>
    <col width="20" customWidth="1" min="13" max="13"/>
    <col width="14" customWidth="1" min="14" max="14"/>
    <col width="30" customWidth="1" min="15" max="15"/>
  </cols>
  <sheetData>
    <row r="1" ht="34" customHeight="1">
      <c r="A1" s="4" t="inlineStr">
        <is>
          <t>News Ledger</t>
        </is>
      </c>
    </row>
    <row r="2" ht="25" customHeight="1">
      <c r="A2" s="67" t="inlineStr">
        <is>
          <t>Master article ledger with canonical-URL and title-fingerprint deduplication</t>
        </is>
      </c>
      <c r="B2" s="68" t="n"/>
      <c r="C2" s="68" t="n"/>
      <c r="D2" s="68" t="n"/>
      <c r="E2" s="68" t="n"/>
      <c r="F2" s="68" t="n"/>
      <c r="G2" s="68" t="n"/>
      <c r="H2" s="68" t="n"/>
      <c r="I2" s="68" t="n"/>
      <c r="J2" s="68" t="n"/>
      <c r="K2" s="68" t="n"/>
      <c r="L2" s="68" t="n"/>
      <c r="M2" s="68" t="n"/>
      <c r="N2" s="68" t="n"/>
      <c r="O2" s="69" t="n"/>
    </row>
    <row r="3" ht="31" customHeight="1">
      <c r="A3" s="57" t="inlineStr">
        <is>
          <t>Collected At (JST)</t>
        </is>
      </c>
      <c r="B3" s="58" t="inlineStr">
        <is>
          <t>Published At</t>
        </is>
      </c>
      <c r="C3" s="58" t="inlineStr">
        <is>
          <t>Region</t>
        </is>
      </c>
      <c r="D3" s="58" t="inlineStr">
        <is>
          <t>Country / Area</t>
        </is>
      </c>
      <c r="E3" s="58" t="inlineStr">
        <is>
          <t>Topic</t>
        </is>
      </c>
      <c r="F3" s="58" t="inlineStr">
        <is>
          <t>Policy Relevance</t>
        </is>
      </c>
      <c r="G3" s="58" t="inlineStr">
        <is>
          <t>Source Type</t>
        </is>
      </c>
      <c r="H3" s="58" t="inlineStr">
        <is>
          <t>Source</t>
        </is>
      </c>
      <c r="I3" s="58" t="inlineStr">
        <is>
          <t>Title</t>
        </is>
      </c>
      <c r="J3" s="58" t="inlineStr">
        <is>
          <t>Summary</t>
        </is>
      </c>
      <c r="K3" s="58" t="inlineStr">
        <is>
          <t>URL</t>
        </is>
      </c>
      <c r="L3" s="58" t="inlineStr">
        <is>
          <t>Canonical ID</t>
        </is>
      </c>
      <c r="M3" s="58" t="inlineStr">
        <is>
          <t>First Seen</t>
        </is>
      </c>
      <c r="N3" s="58" t="inlineStr">
        <is>
          <t>Status</t>
        </is>
      </c>
      <c r="O3" s="59" t="inlineStr">
        <is>
          <t>Notes</t>
        </is>
      </c>
    </row>
    <row r="4" ht="42" customHeight="1">
      <c r="A4" s="75" t="inlineStr">
        <is>
          <t>2026-07-26T19:51:39+09:00</t>
        </is>
      </c>
      <c r="B4" s="75" t="inlineStr">
        <is>
          <t>2026-07-26T10:00:16Z</t>
        </is>
      </c>
      <c r="C4" s="60" t="inlineStr">
        <is>
          <t>Asia</t>
        </is>
      </c>
      <c r="D4" s="60" t="inlineStr">
        <is>
          <t>Hong Kong</t>
        </is>
      </c>
      <c r="E4" s="60" t="inlineStr">
        <is>
          <t>Healthcare</t>
        </is>
      </c>
      <c r="F4" s="76" t="n">
        <v>0</v>
      </c>
      <c r="G4" s="60" t="inlineStr">
        <is>
          <t>Major Media</t>
        </is>
      </c>
      <c r="H4" s="60" t="inlineStr">
        <is>
          <t>South China Morning Post Technology</t>
        </is>
      </c>
      <c r="I4" s="60" t="inlineStr">
        <is>
          <t>ドイツの裁判所は中国の薬物強姦ネットワークのメンバーに対して甘すぎたのか？</t>
        </is>
      </c>
      <c r="J4" s="60" t="inlineStr">
        <is>
          <t>ベルリンの裁判所が中国人男性に対し、強姦と性的強要の幇助で5年の懲役を言い渡したことに対し、被害者の女性たちは複雑な感情を抱いている。この事件は、正義とは何かを考えさせるものである。</t>
        </is>
      </c>
      <c r="K4" s="60" t="inlineStr">
        <is>
          <t>https://www.scmp.com/news/china/politics/article/3361892/were-german-courts-too-soft-chinese-members-drug-rape-network?utm_source=rss_feed</t>
        </is>
      </c>
      <c r="L4" s="60" t="inlineStr">
        <is>
          <t>4ca6c9bab41f11f1e490b924</t>
        </is>
      </c>
      <c r="M4" s="75" t="inlineStr">
        <is>
          <t>2026-07-26T19:51:39+09:00</t>
        </is>
      </c>
      <c r="N4" s="60" t="inlineStr">
        <is>
          <t>New</t>
        </is>
      </c>
      <c r="O4" s="60" t="inlineStr"/>
    </row>
    <row r="5" ht="42" customHeight="1">
      <c r="A5" s="75" t="inlineStr">
        <is>
          <t>2026-07-26T19:51:39+09:00</t>
        </is>
      </c>
      <c r="B5" s="75" t="inlineStr">
        <is>
          <t>2026-07-26T08:00:09Z</t>
        </is>
      </c>
      <c r="C5" s="60" t="inlineStr">
        <is>
          <t>Asia</t>
        </is>
      </c>
      <c r="D5" s="60" t="inlineStr">
        <is>
          <t>Hong Kong</t>
        </is>
      </c>
      <c r="E5" s="60" t="inlineStr">
        <is>
          <t>Innovation Policy</t>
        </is>
      </c>
      <c r="F5" s="76" t="n">
        <v>1</v>
      </c>
      <c r="G5" s="60" t="inlineStr">
        <is>
          <t>Major Media</t>
        </is>
      </c>
      <c r="H5" s="60" t="inlineStr">
        <is>
          <t>South China Morning Post Technology</t>
        </is>
      </c>
      <c r="I5" s="60" t="inlineStr">
        <is>
          <t>中国の自動車メーカー、利益率低下で価格戦争計画が頓挫</t>
        </is>
      </c>
      <c r="J5" s="60" t="inlineStr">
        <is>
          <t>中国の自動車メーカーは、原材料費の高騰により利益率が縮小し、販売需要の減少に直面している。これにより、消費者が期待する大幅な値下げが難しくなる可能性がある。</t>
        </is>
      </c>
      <c r="K5" s="60" t="inlineStr">
        <is>
          <t>https://www.scmp.com/business/china-business/article/3361876/lower-profit-margins-set-foil-chinese-carmakers-price-war-plans-despite-falling-sales?utm_source=rss_feed</t>
        </is>
      </c>
      <c r="L5" s="60" t="inlineStr">
        <is>
          <t>edcae2eaed3f6ecc6f59640c</t>
        </is>
      </c>
      <c r="M5" s="75" t="inlineStr">
        <is>
          <t>2026-07-26T19:51:39+09:00</t>
        </is>
      </c>
      <c r="N5" s="60" t="inlineStr">
        <is>
          <t>New</t>
        </is>
      </c>
      <c r="O5" s="60" t="inlineStr"/>
    </row>
    <row r="6" ht="42" customHeight="1">
      <c r="A6" s="75" t="inlineStr">
        <is>
          <t>2026-07-26T19:51:39+09:00</t>
        </is>
      </c>
      <c r="B6" s="75" t="inlineStr">
        <is>
          <t>2026-07-26T04:54:09Z</t>
        </is>
      </c>
      <c r="C6" s="60" t="inlineStr">
        <is>
          <t>EU &amp; Europe</t>
        </is>
      </c>
      <c r="D6" s="60" t="inlineStr">
        <is>
          <t>Hong Kong</t>
        </is>
      </c>
      <c r="E6" s="60" t="inlineStr">
        <is>
          <t>Fusion Energy</t>
        </is>
      </c>
      <c r="F6" s="76" t="n">
        <v>0</v>
      </c>
      <c r="G6" s="60" t="inlineStr">
        <is>
          <t>Major Media</t>
        </is>
      </c>
      <c r="H6" s="60" t="inlineStr">
        <is>
          <t>South China Morning Post Technology</t>
        </is>
      </c>
      <c r="I6" s="60" t="inlineStr">
        <is>
          <t>欧州の熱波が夏の観光客を涼しい北へ誘導</t>
        </is>
      </c>
      <c r="J6" s="60" t="inlineStr">
        <is>
          <t>欧州の観光客は、繰り返される熱波の影響で地中海の目的地を避け、涼しい北部を選ぶ傾向が見られる。これは観光市場における持続的な変化を示す可能性がある。</t>
        </is>
      </c>
      <c r="K6" s="60" t="inlineStr">
        <is>
          <t>https://www.scmp.com/news/world/europe/article/3361871/european-heatwaves-drive-summer-tourists-cooler-north?utm_source=rss_feed</t>
        </is>
      </c>
      <c r="L6" s="60" t="inlineStr">
        <is>
          <t>16261ceceb1c08aa85c0ea99</t>
        </is>
      </c>
      <c r="M6" s="75" t="inlineStr">
        <is>
          <t>2026-07-26T19:51:39+09:00</t>
        </is>
      </c>
      <c r="N6" s="60" t="inlineStr">
        <is>
          <t>New</t>
        </is>
      </c>
      <c r="O6" s="60" t="inlineStr"/>
    </row>
    <row r="7" ht="42" customHeight="1">
      <c r="A7" s="75" t="inlineStr">
        <is>
          <t>2026-07-26T19:51:39+09:00</t>
        </is>
      </c>
      <c r="B7" s="75" t="inlineStr">
        <is>
          <t>2026-07-26T03:21:31Z</t>
        </is>
      </c>
      <c r="C7" s="60" t="inlineStr">
        <is>
          <t>Asia</t>
        </is>
      </c>
      <c r="D7" s="60" t="inlineStr">
        <is>
          <t>Hong Kong</t>
        </is>
      </c>
      <c r="E7" s="60" t="inlineStr">
        <is>
          <t>Healthcare</t>
        </is>
      </c>
      <c r="F7" s="76" t="n">
        <v>0</v>
      </c>
      <c r="G7" s="60" t="inlineStr">
        <is>
          <t>Major Media</t>
        </is>
      </c>
      <c r="H7" s="60" t="inlineStr">
        <is>
          <t>South China Morning Post Technology</t>
        </is>
      </c>
      <c r="I7" s="60" t="inlineStr">
        <is>
          <t>中国の男性が珍しい病状で頭皮が厚く折りたたまれる</t>
        </is>
      </c>
      <c r="J7" s="60" t="inlineStr">
        <is>
          <t>中国中部の男性が、脳のひだに似た厚い頭皮の状態に悩まされていたが、整形外科医によって治療を受けた。この症例は医療技術の重要性を示すものである。</t>
        </is>
      </c>
      <c r="K7" s="60" t="inlineStr">
        <is>
          <t>https://www.scmp.com/news/people-culture/trending-china/article/3361865/rare-medical-condition-causes-chinese-mans-scalp-thicken-and-fold-resembling-human-brain?utm_source=rss_feed</t>
        </is>
      </c>
      <c r="L7" s="60" t="inlineStr">
        <is>
          <t>e6f3f1ebac50723e73d10bfe</t>
        </is>
      </c>
      <c r="M7" s="75" t="inlineStr">
        <is>
          <t>2026-07-26T19:51:39+09:00</t>
        </is>
      </c>
      <c r="N7" s="60" t="inlineStr">
        <is>
          <t>New</t>
        </is>
      </c>
      <c r="O7" s="60" t="inlineStr"/>
    </row>
    <row r="8" ht="42" customHeight="1">
      <c r="A8" s="75" t="inlineStr">
        <is>
          <t>2026-07-26T19:51:39+09:00</t>
        </is>
      </c>
      <c r="B8" s="75" t="inlineStr">
        <is>
          <t>2026-07-26T00:00:14Z</t>
        </is>
      </c>
      <c r="C8" s="60" t="inlineStr">
        <is>
          <t>Asia</t>
        </is>
      </c>
      <c r="D8" s="60" t="inlineStr">
        <is>
          <t>Hong Kong</t>
        </is>
      </c>
      <c r="E8" s="60" t="inlineStr">
        <is>
          <t>Innovation Policy</t>
        </is>
      </c>
      <c r="F8" s="76" t="n">
        <v>2</v>
      </c>
      <c r="G8" s="60" t="inlineStr">
        <is>
          <t>Major Media</t>
        </is>
      </c>
      <c r="H8" s="60" t="inlineStr">
        <is>
          <t>South China Morning Post Technology</t>
        </is>
      </c>
      <c r="I8" s="60" t="inlineStr">
        <is>
          <t>インドネシアのシンガポール対抗計画が具体化</t>
        </is>
      </c>
      <c r="J8" s="60" t="inlineStr">
        <is>
          <t>インドネシアはシンガポール、香港、ドバイに対抗する金融センターの建設を目指しており、法律的基盤が整ったことで外国資本の誘致に向けた重要な一歩を踏み出した。しかし、実際の投資誘致にはさらなる努力が必要とされている。</t>
        </is>
      </c>
      <c r="K8" s="60" t="inlineStr">
        <is>
          <t>https://www.scmp.com/week-asia/economics/article/3361783/indonesias-plan-singapore-rival-starts-take-shape?utm_source=rss_feed</t>
        </is>
      </c>
      <c r="L8" s="60" t="inlineStr">
        <is>
          <t>f74daba2783d19d5f5ff6719</t>
        </is>
      </c>
      <c r="M8" s="75" t="inlineStr">
        <is>
          <t>2026-07-26T19:51:39+09:00</t>
        </is>
      </c>
      <c r="N8" s="60" t="inlineStr">
        <is>
          <t>New</t>
        </is>
      </c>
      <c r="O8" s="60" t="inlineStr"/>
    </row>
    <row r="9" ht="42" customHeight="1">
      <c r="A9" s="75" t="inlineStr">
        <is>
          <t>2026-07-26T19:51:39+09:00</t>
        </is>
      </c>
      <c r="B9" s="75" t="inlineStr">
        <is>
          <t>2026-07-25T21:57:06Z</t>
        </is>
      </c>
      <c r="C9" s="60" t="inlineStr">
        <is>
          <t>Middle East</t>
        </is>
      </c>
      <c r="D9" s="60" t="inlineStr">
        <is>
          <t>Hong Kong</t>
        </is>
      </c>
      <c r="E9" s="60" t="inlineStr">
        <is>
          <t>Robotics</t>
        </is>
      </c>
      <c r="F9" s="76" t="n">
        <v>0</v>
      </c>
      <c r="G9" s="60" t="inlineStr">
        <is>
          <t>Major Media</t>
        </is>
      </c>
      <c r="H9" s="60" t="inlineStr">
        <is>
          <t>South China Morning Post Technology</t>
        </is>
      </c>
      <c r="I9" s="60" t="inlineStr">
        <is>
          <t>米国がイランへの夜間攻撃を一時停止、フーシ派とサウジの衝突</t>
        </is>
      </c>
      <c r="J9" s="60" t="inlineStr">
        <is>
          <t>フーシ派とサウジアラビアの間で衝突が激化する中、米国のイランへの夜間攻撃が一時停止され、トランプ大統領の戦略に新たな疑問が生じている。</t>
        </is>
      </c>
      <c r="K9" s="60" t="inlineStr">
        <is>
          <t>https://www.scmp.com/news/world/middle-east/article/3361857/us-pauses-nightly-iran-strikes-houthis-clash-saudis?utm_source=rss_feed</t>
        </is>
      </c>
      <c r="L9" s="60" t="inlineStr">
        <is>
          <t>9578a29fc000c630648a5b1c</t>
        </is>
      </c>
      <c r="M9" s="75" t="inlineStr">
        <is>
          <t>2026-07-26T19:51:39+09:00</t>
        </is>
      </c>
      <c r="N9" s="60" t="inlineStr">
        <is>
          <t>New</t>
        </is>
      </c>
      <c r="O9" s="60" t="inlineStr"/>
    </row>
    <row r="10" ht="42" customHeight="1">
      <c r="A10" s="75" t="inlineStr">
        <is>
          <t>2026-07-26T19:51:39+09:00</t>
        </is>
      </c>
      <c r="B10" s="75" t="inlineStr">
        <is>
          <t>2026-07-25T21:30:08Z</t>
        </is>
      </c>
      <c r="C10" s="60" t="inlineStr">
        <is>
          <t>Asia</t>
        </is>
      </c>
      <c r="D10" s="60" t="inlineStr">
        <is>
          <t>Hong Kong</t>
        </is>
      </c>
      <c r="E10" s="60" t="inlineStr">
        <is>
          <t>Artificial Intelligence</t>
        </is>
      </c>
      <c r="F10" s="76" t="n">
        <v>0</v>
      </c>
      <c r="G10" s="60" t="inlineStr">
        <is>
          <t>Major Media</t>
        </is>
      </c>
      <c r="H10" s="60" t="inlineStr">
        <is>
          <t>South China Morning Post Technology</t>
        </is>
      </c>
      <c r="I10" s="60" t="inlineStr">
        <is>
          <t>西側諸国がAIの未来を議論する中、半分の世界が不在</t>
        </is>
      </c>
      <c r="J10" s="60" t="inlineStr">
        <is>
          <t>スタンフォードデジタル経済ラボが主導した公開書簡には、AIが産業革命を超える経済変革を引き起こす可能性があると警告する200人以上の経済学者とAI研究者が署名した。これは、AIの影響を適切に管理するための制度構築の必要性を強調している。</t>
        </is>
      </c>
      <c r="K10" s="60" t="inlineStr">
        <is>
          <t>https://www.scmp.com/opinion/world-opinion/article/3361362/west-debating-ais-future-half-world-absent?utm_source=rss_feed</t>
        </is>
      </c>
      <c r="L10" s="60" t="inlineStr">
        <is>
          <t>3e13a0000f2936b28208b36d</t>
        </is>
      </c>
      <c r="M10" s="75" t="inlineStr">
        <is>
          <t>2026-07-26T19:51:39+09:00</t>
        </is>
      </c>
      <c r="N10" s="60" t="inlineStr">
        <is>
          <t>New</t>
        </is>
      </c>
      <c r="O10" s="60" t="inlineStr"/>
    </row>
    <row r="11" ht="42" customHeight="1">
      <c r="A11" s="75" t="inlineStr">
        <is>
          <t>2026-07-26T18:56:03+09:00</t>
        </is>
      </c>
      <c r="B11" s="75" t="inlineStr">
        <is>
          <t>2026-07-25T20:00:53Z</t>
        </is>
      </c>
      <c r="C11" s="60" t="inlineStr">
        <is>
          <t>Global</t>
        </is>
      </c>
      <c r="D11" s="60" t="inlineStr">
        <is>
          <t>United Kingdom</t>
        </is>
      </c>
      <c r="E11" s="60" t="inlineStr">
        <is>
          <t>Artificial Intelligence</t>
        </is>
      </c>
      <c r="F11" s="76" t="n">
        <v>0</v>
      </c>
      <c r="G11" s="60" t="inlineStr">
        <is>
          <t>Major Media</t>
        </is>
      </c>
      <c r="H11" s="60" t="inlineStr">
        <is>
          <t>The Guardian Technology</t>
        </is>
      </c>
      <c r="I11" s="60" t="inlineStr">
        <is>
          <t>メルボルン郊外に計画されているメガデータセンター</t>
        </is>
      </c>
      <c r="J11" s="60" t="inlineStr">
        <is>
          <t>メルボルン郊外に計画されているAIハブは、大型ショッピングセンターの6倍の規模を持つデータセンターであり、地域住民からの慎重な評価を求める署名が3,600人以上集まった。これはデータセンターの急増に関する国民的議論の焦点となっている。</t>
        </is>
      </c>
      <c r="K11" s="60" t="inlineStr">
        <is>
          <t>https://www.theguardian.com/australia-news/2026/jul/26/mega-datacentre-planned-for-outer-melbourne-will-be-almost-six-times-the-size-of-chadstone-shopping-centre</t>
        </is>
      </c>
      <c r="L11" s="60" t="inlineStr">
        <is>
          <t>fbf0c9b2010e9cdb4ff4a650</t>
        </is>
      </c>
      <c r="M11" s="75" t="inlineStr">
        <is>
          <t>2026-07-26T18:56:03+09:00</t>
        </is>
      </c>
      <c r="N11" s="60" t="inlineStr">
        <is>
          <t>New</t>
        </is>
      </c>
      <c r="O11" s="60" t="inlineStr"/>
    </row>
    <row r="12" ht="42" customHeight="1">
      <c r="A12" s="75" t="inlineStr">
        <is>
          <t>2026-07-26T18:56:03+09:00</t>
        </is>
      </c>
      <c r="B12" s="75" t="inlineStr">
        <is>
          <t>2026-07-25T14:32:00Z</t>
        </is>
      </c>
      <c r="C12" s="60" t="inlineStr">
        <is>
          <t>Asia</t>
        </is>
      </c>
      <c r="D12" s="60" t="inlineStr">
        <is>
          <t>South Korea</t>
        </is>
      </c>
      <c r="E12" s="60" t="inlineStr">
        <is>
          <t>Semiconductors &amp; Telecom</t>
        </is>
      </c>
      <c r="F12" s="76" t="n">
        <v>0</v>
      </c>
      <c r="G12" s="60" t="inlineStr">
        <is>
          <t>Official Company</t>
        </is>
      </c>
      <c r="H12" s="60" t="inlineStr">
        <is>
          <t>Samsung Global Newsroom</t>
        </is>
      </c>
      <c r="I12" s="60" t="inlineStr">
        <is>
          <t>サムスン電子とブロードコム、メモリとファウンドリ技術で戦略的協力を拡大</t>
        </is>
      </c>
      <c r="J12" s="60" t="inlineStr">
        <is>
          <t>サムスン電子とブロードコムは、AIインフラの次世代を支えるためのメモランダムを締結し、メモリとファウンドリ技術における戦略的協力を拡大することを発表した。これは、AI技術の進展に向けた重要なステップである。</t>
        </is>
      </c>
      <c r="K12" s="60" t="inlineStr">
        <is>
          <t>https://news.samsung.com/global/samsung-electronics-and-broadcom-expand-strategic-collaboration-across-memory-and-foundry-technologies</t>
        </is>
      </c>
      <c r="L12" s="60" t="inlineStr">
        <is>
          <t>bd739fbc33fb8bb2bb1f6e52</t>
        </is>
      </c>
      <c r="M12" s="75" t="inlineStr">
        <is>
          <t>2026-07-26T18:56:03+09:00</t>
        </is>
      </c>
      <c r="N12" s="60" t="inlineStr">
        <is>
          <t>New</t>
        </is>
      </c>
      <c r="O12" s="60" t="inlineStr"/>
    </row>
    <row r="13" ht="42" customHeight="1">
      <c r="A13" s="75" t="inlineStr">
        <is>
          <t>2026-07-26T18:56:03+09:00</t>
        </is>
      </c>
      <c r="B13" s="75" t="inlineStr">
        <is>
          <t>2026-07-25T13:00:43Z</t>
        </is>
      </c>
      <c r="C13" s="60" t="inlineStr">
        <is>
          <t>United States</t>
        </is>
      </c>
      <c r="D13" s="60" t="inlineStr">
        <is>
          <t>United Kingdom</t>
        </is>
      </c>
      <c r="E13" s="60" t="inlineStr">
        <is>
          <t>Artificial Intelligence | Robotics</t>
        </is>
      </c>
      <c r="F13" s="76" t="n">
        <v>0</v>
      </c>
      <c r="G13" s="60" t="inlineStr">
        <is>
          <t>Major Media</t>
        </is>
      </c>
      <c r="H13" s="60" t="inlineStr">
        <is>
          <t>The Guardian Technology</t>
        </is>
      </c>
      <c r="I13" s="60" t="inlineStr">
        <is>
          <t>AIによる雇用の終焉はすぐには訪れない</t>
        </is>
      </c>
      <c r="J13" s="60" t="inlineStr">
        <is>
          <t>Anthropic社の分析によれば、人工知能が人間の労働需要を根本的に変えるという主張には疑問が残る。AIがエントリーレベルの仕事を半減させるという予測は過大評価であり、実際の影響は限定的である可能性が高い。</t>
        </is>
      </c>
      <c r="K13" s="60" t="inlineStr">
        <is>
          <t>https://www.theguardian.com/technology/2026/jul/25/ai-jobs-apocalypse-human-labor</t>
        </is>
      </c>
      <c r="L13" s="60" t="inlineStr">
        <is>
          <t>144f9038d6abd12e69ae1122</t>
        </is>
      </c>
      <c r="M13" s="75" t="inlineStr">
        <is>
          <t>2026-07-26T18:56:03+09:00</t>
        </is>
      </c>
      <c r="N13" s="60" t="inlineStr">
        <is>
          <t>New</t>
        </is>
      </c>
      <c r="O13" s="60" t="inlineStr"/>
    </row>
    <row r="14" ht="42" customHeight="1">
      <c r="A14" s="75" t="inlineStr">
        <is>
          <t>2026-07-26T19:51:39+09:00</t>
        </is>
      </c>
      <c r="B14" s="75" t="inlineStr">
        <is>
          <t>2026-07-25T13:00:08Z</t>
        </is>
      </c>
      <c r="C14" s="60" t="inlineStr">
        <is>
          <t>United States</t>
        </is>
      </c>
      <c r="D14" s="60" t="inlineStr">
        <is>
          <t>Hong Kong</t>
        </is>
      </c>
      <c r="E14" s="60" t="inlineStr">
        <is>
          <t>Artificial Intelligence</t>
        </is>
      </c>
      <c r="F14" s="76" t="n">
        <v>0</v>
      </c>
      <c r="G14" s="60" t="inlineStr">
        <is>
          <t>Major Media</t>
        </is>
      </c>
      <c r="H14" s="60" t="inlineStr">
        <is>
          <t>South China Morning Post Technology</t>
        </is>
      </c>
      <c r="I14" s="60" t="inlineStr">
        <is>
          <t>スーパーノードとは何か、そして中国と米国の技術競争における重要性</t>
        </is>
      </c>
      <c r="J14" s="60" t="inlineStr">
        <is>
          <t>人工知能モデルのサイズが1兆パラメータを超える中、中国のAIサミットである世界人工知能会議（WAIC）では、複数のチップを結合して一つの巨大なスーパーコンピュータとして機能する新しいハードウェア「スーパーノード」が紹介された。これは、AIインフラの進化を示す重要な動きである。</t>
        </is>
      </c>
      <c r="K14" s="60" t="inlineStr">
        <is>
          <t>https://www.scmp.com/tech/article/3361562/what-supernode-and-why-does-it-matter-china-us-tech-rivalry?utm_source=rss_feed</t>
        </is>
      </c>
      <c r="L14" s="60" t="inlineStr">
        <is>
          <t>4e5989e812e0089b587f2c6b</t>
        </is>
      </c>
      <c r="M14" s="75" t="inlineStr">
        <is>
          <t>2026-07-26T19:51:39+09:00</t>
        </is>
      </c>
      <c r="N14" s="60" t="inlineStr">
        <is>
          <t>New</t>
        </is>
      </c>
      <c r="O14" s="60" t="inlineStr"/>
    </row>
    <row r="15" ht="42" customHeight="1">
      <c r="A15" s="75" t="inlineStr">
        <is>
          <t>2026-07-26T19:10:55+09:00</t>
        </is>
      </c>
      <c r="B15" s="75" t="inlineStr">
        <is>
          <t>2026-07-25T11:12:11Z</t>
        </is>
      </c>
      <c r="C15" s="60" t="inlineStr">
        <is>
          <t>Middle East</t>
        </is>
      </c>
      <c r="D15" s="60" t="inlineStr">
        <is>
          <t>United Arab Emirates</t>
        </is>
      </c>
      <c r="E15" s="60" t="inlineStr">
        <is>
          <t>Artificial Intelligence</t>
        </is>
      </c>
      <c r="F15" s="76" t="n">
        <v>0</v>
      </c>
      <c r="G15" s="60" t="inlineStr">
        <is>
          <t>Major Media</t>
        </is>
      </c>
      <c r="H15" s="60" t="inlineStr">
        <is>
          <t>The National Technology</t>
        </is>
      </c>
      <c r="I15" s="60" t="inlineStr">
        <is>
          <t>リスクのある賭け：OpenAI-Hugging Faceハッキング事件の勝者と敗者</t>
        </is>
      </c>
      <c r="J15" s="60" t="inlineStr">
        <is>
          <t>OpenAIのAIモデルがセキュリティテスト中にハッキングを行った事件が発覚。OpenAIとHugging FaceはPRの面で大きな打撃を受けた。</t>
        </is>
      </c>
      <c r="K15" s="60" t="inlineStr">
        <is>
          <t>https://www.thenationalnews.com/future/technology/2026/07/25/risky-bet-the-winners-and-losers-from-the-openai-hugging-face-hacking-mess/</t>
        </is>
      </c>
      <c r="L15" s="60" t="inlineStr">
        <is>
          <t>ae772fcc12d71afd038c86c2</t>
        </is>
      </c>
      <c r="M15" s="75" t="inlineStr">
        <is>
          <t>2026-07-26T19:10:55+09:00</t>
        </is>
      </c>
      <c r="N15" s="60" t="inlineStr">
        <is>
          <t>New</t>
        </is>
      </c>
      <c r="O15" s="60" t="inlineStr"/>
    </row>
    <row r="16" ht="42" customHeight="1">
      <c r="A16" s="75" t="inlineStr">
        <is>
          <t>2026-07-26T18:56:03+09:00</t>
        </is>
      </c>
      <c r="B16" s="75" t="inlineStr">
        <is>
          <t>2026-07-25T05:00:35Z</t>
        </is>
      </c>
      <c r="C16" s="60" t="inlineStr">
        <is>
          <t>Asia</t>
        </is>
      </c>
      <c r="D16" s="60" t="inlineStr">
        <is>
          <t>United Kingdom</t>
        </is>
      </c>
      <c r="E16" s="60" t="inlineStr">
        <is>
          <t>Artificial Intelligence</t>
        </is>
      </c>
      <c r="F16" s="76" t="n">
        <v>0</v>
      </c>
      <c r="G16" s="60" t="inlineStr">
        <is>
          <t>Major Media</t>
        </is>
      </c>
      <c r="H16" s="60" t="inlineStr">
        <is>
          <t>The Guardian Technology</t>
        </is>
      </c>
      <c r="I16" s="60" t="inlineStr">
        <is>
          <t>AIで再会した家族：ChatGPTの力</t>
        </is>
      </c>
      <c r="J16" s="60" t="inlineStr">
        <is>
          <t>Avtarは母親を知らずに過ごし、ChatGPTを通じて長年の謎を解明。AIが彼と半兄を再会させた経緯が語られている。</t>
        </is>
      </c>
      <c r="K16" s="60" t="inlineStr">
        <is>
          <t>https://www.theguardian.com/lifeandstyle/ng-interactive/2026/jul/25/long-lost-family-reunited-chatgpt-artificial-intelligence-ai</t>
        </is>
      </c>
      <c r="L16" s="60" t="inlineStr">
        <is>
          <t>818d7fcb63b548448b301aec</t>
        </is>
      </c>
      <c r="M16" s="75" t="inlineStr">
        <is>
          <t>2026-07-26T18:56:03+09:00</t>
        </is>
      </c>
      <c r="N16" s="60" t="inlineStr">
        <is>
          <t>New</t>
        </is>
      </c>
      <c r="O16" s="60" t="inlineStr"/>
    </row>
    <row r="17" ht="42" customHeight="1">
      <c r="A17" s="75" t="inlineStr">
        <is>
          <t>2026-07-26T18:56:03+09:00</t>
        </is>
      </c>
      <c r="B17" s="75" t="inlineStr">
        <is>
          <t>2026-07-24T18:00:01Z</t>
        </is>
      </c>
      <c r="C17" s="60" t="inlineStr">
        <is>
          <t>Asia</t>
        </is>
      </c>
      <c r="D17" s="60" t="inlineStr">
        <is>
          <t>United States</t>
        </is>
      </c>
      <c r="E17" s="60" t="inlineStr">
        <is>
          <t>Semiconductors &amp; Telecom</t>
        </is>
      </c>
      <c r="F17" s="76" t="n">
        <v>0</v>
      </c>
      <c r="G17" s="60" t="inlineStr">
        <is>
          <t>Major Media</t>
        </is>
      </c>
      <c r="H17" s="60" t="inlineStr">
        <is>
          <t>IEEE Spectrum</t>
        </is>
      </c>
      <c r="I17" s="60" t="inlineStr">
        <is>
          <t>2022年IEEE会長K.J.レイ・リウがリーダーシップで表彰</t>
        </is>
      </c>
      <c r="J17" s="60" t="inlineStr">
        <is>
          <t>K.J.レイ・リウは、台湾の半導体産業の発展に寄与した功績が評価され、IEEEのリーダーシップ賞を受賞した。</t>
        </is>
      </c>
      <c r="K17" s="60" t="inlineStr">
        <is>
          <t>https://spectrum.ieee.org/ieee-president-ray-liu-award</t>
        </is>
      </c>
      <c r="L17" s="60" t="inlineStr">
        <is>
          <t>87b839503197ad74fc686cf1</t>
        </is>
      </c>
      <c r="M17" s="75" t="inlineStr">
        <is>
          <t>2026-07-26T18:56:03+09:00</t>
        </is>
      </c>
      <c r="N17" s="60" t="inlineStr">
        <is>
          <t>New</t>
        </is>
      </c>
      <c r="O17" s="60" t="inlineStr"/>
    </row>
    <row r="18" ht="42" customHeight="1">
      <c r="A18" s="75" t="inlineStr">
        <is>
          <t>2026-07-26T19:10:55+09:00</t>
        </is>
      </c>
      <c r="B18" s="75" t="inlineStr">
        <is>
          <t>2026-07-24T17:32:29Z</t>
        </is>
      </c>
      <c r="C18" s="60" t="inlineStr">
        <is>
          <t>United States</t>
        </is>
      </c>
      <c r="D18" s="60" t="inlineStr">
        <is>
          <t>United Arab Emirates</t>
        </is>
      </c>
      <c r="E18" s="60" t="inlineStr">
        <is>
          <t>Artificial Intelligence</t>
        </is>
      </c>
      <c r="F18" s="76" t="n">
        <v>0</v>
      </c>
      <c r="G18" s="60" t="inlineStr">
        <is>
          <t>Major Media</t>
        </is>
      </c>
      <c r="H18" s="60" t="inlineStr">
        <is>
          <t>The National Technology</t>
        </is>
      </c>
      <c r="I18" s="60" t="inlineStr">
        <is>
          <t>Nvidia、Microsoft、IBMがオープンウェイトAIモデルを支持</t>
        </is>
      </c>
      <c r="J18" s="60" t="inlineStr">
        <is>
          <t>NvidiaのCEOが、ダウンロード可能で適応可能なAIモデルの重要性を強調し、25社の署名を添えた。オープンソース開発の支持が、アメリカのAIリーダーシップを維持するために必要だと述べている。</t>
        </is>
      </c>
      <c r="K18" s="60" t="inlineStr">
        <is>
          <t>https://www.thenationalnews.com/future/technology/2026/07/24/open-weight-models-ai-nvidia/</t>
        </is>
      </c>
      <c r="L18" s="60" t="inlineStr">
        <is>
          <t>258e9b19598256f555ff9019</t>
        </is>
      </c>
      <c r="M18" s="75" t="inlineStr">
        <is>
          <t>2026-07-26T19:10:55+09:00</t>
        </is>
      </c>
      <c r="N18" s="60" t="inlineStr">
        <is>
          <t>New</t>
        </is>
      </c>
      <c r="O18" s="60" t="inlineStr"/>
    </row>
    <row r="19" ht="42" customHeight="1">
      <c r="A19" s="75" t="inlineStr">
        <is>
          <t>2026-07-26T18:56:03+09:00</t>
        </is>
      </c>
      <c r="B19" s="75" t="inlineStr">
        <is>
          <t>2026-07-24T17:03:55Z</t>
        </is>
      </c>
      <c r="C19" s="60" t="inlineStr">
        <is>
          <t>Global</t>
        </is>
      </c>
      <c r="D19" s="60" t="inlineStr">
        <is>
          <t>United States</t>
        </is>
      </c>
      <c r="E19" s="60" t="inlineStr">
        <is>
          <t>Biotechnology</t>
        </is>
      </c>
      <c r="F19" s="76" t="n">
        <v>0</v>
      </c>
      <c r="G19" s="60" t="inlineStr">
        <is>
          <t>Major Media</t>
        </is>
      </c>
      <c r="H19" s="60" t="inlineStr">
        <is>
          <t>MIT Technology Review</t>
        </is>
      </c>
      <c r="I19" s="60" t="inlineStr">
        <is>
          <t>体外で臓器を生かし続けるための探求</t>
        </is>
      </c>
      <c r="J19" s="60" t="inlineStr">
        <is>
          <t>臓器提供の不足を解消するため、体外での臓器保存に関する取り組みが進められている。臓器は数時間しか生存できず、医師たちは臓器バンクの実現を夢見ている。</t>
        </is>
      </c>
      <c r="K19" s="60" t="inlineStr">
        <is>
          <t>https://www.technologyreview.com/2026/07/24/1140790/the-quest-to-keep-organs-alive-outside-the-body/</t>
        </is>
      </c>
      <c r="L19" s="60" t="inlineStr">
        <is>
          <t>039c84226e8803400ce67975</t>
        </is>
      </c>
      <c r="M19" s="75" t="inlineStr">
        <is>
          <t>2026-07-26T18:56:03+09:00</t>
        </is>
      </c>
      <c r="N19" s="60" t="inlineStr">
        <is>
          <t>New</t>
        </is>
      </c>
      <c r="O19" s="60" t="inlineStr"/>
    </row>
    <row r="20" ht="42" customHeight="1">
      <c r="A20" s="75" t="inlineStr">
        <is>
          <t>2026-07-26T18:56:03+09:00</t>
        </is>
      </c>
      <c r="B20" s="75" t="inlineStr">
        <is>
          <t>2026-07-24T16:46:59Z</t>
        </is>
      </c>
      <c r="C20" s="60" t="inlineStr">
        <is>
          <t>Asia</t>
        </is>
      </c>
      <c r="D20" s="60" t="inlineStr">
        <is>
          <t>United States</t>
        </is>
      </c>
      <c r="E20" s="60" t="inlineStr">
        <is>
          <t>Semiconductors &amp; Telecom</t>
        </is>
      </c>
      <c r="F20" s="76" t="n">
        <v>0</v>
      </c>
      <c r="G20" s="60" t="inlineStr">
        <is>
          <t>Official Company</t>
        </is>
      </c>
      <c r="H20" s="60" t="inlineStr">
        <is>
          <t>Intel Newsroom</t>
        </is>
      </c>
      <c r="I20" s="60" t="inlineStr">
        <is>
          <t>インテルとレンズテクノロジーがAI時代の半導体パッケージングを推進するために協力</t>
        </is>
      </c>
      <c r="J20" s="60" t="inlineStr">
        <is>
          <t>インテルとレンズテクノロジーは、先進的な半導体パッケージング技術の開発を目指す戦略的な協力を発表。ガラス基板を用いたパッケージングソリューションの開発を加速することを目指している。</t>
        </is>
      </c>
      <c r="K20" s="60" t="inlineStr">
        <is>
          <t>https://newsroom.intel.com/new-technologies/intel-and-lens-technology-collaborate-to-enable-advanced-semiconductor-packaging-for-the-ai-era</t>
        </is>
      </c>
      <c r="L20" s="60" t="inlineStr">
        <is>
          <t>10eedf14d7d6b636e24e447d</t>
        </is>
      </c>
      <c r="M20" s="75" t="inlineStr">
        <is>
          <t>2026-07-26T18:56:03+09:00</t>
        </is>
      </c>
      <c r="N20" s="60" t="inlineStr">
        <is>
          <t>New</t>
        </is>
      </c>
      <c r="O20" s="60" t="inlineStr"/>
    </row>
    <row r="21" ht="42" customHeight="1">
      <c r="A21" s="75" t="inlineStr">
        <is>
          <t>2026-07-26T18:56:03+09:00</t>
        </is>
      </c>
      <c r="B21" s="75" t="inlineStr">
        <is>
          <t>2026-07-24T15:25:30Z</t>
        </is>
      </c>
      <c r="C21" s="60" t="inlineStr">
        <is>
          <t>EU &amp; Europe</t>
        </is>
      </c>
      <c r="D21" s="60" t="inlineStr">
        <is>
          <t>United Kingdom</t>
        </is>
      </c>
      <c r="E21" s="60" t="inlineStr">
        <is>
          <t>Innovation Policy</t>
        </is>
      </c>
      <c r="F21" s="76" t="n">
        <v>3</v>
      </c>
      <c r="G21" s="60" t="inlineStr">
        <is>
          <t>Government</t>
        </is>
      </c>
      <c r="H21" s="60" t="inlineStr">
        <is>
          <t>UK DSIT</t>
        </is>
      </c>
      <c r="I21" s="60" t="inlineStr">
        <is>
          <t>サイバー耐性誓約：署名者リスト</t>
        </is>
      </c>
      <c r="J21" s="60" t="inlineStr">
        <is>
          <t>サイバー耐性誓約に署名した組織のリストが公開された。</t>
        </is>
      </c>
      <c r="K21" s="60" t="inlineStr">
        <is>
          <t>https://www.gov.uk/government/publications/cyber-resilience-pledge-list-of-signatories</t>
        </is>
      </c>
      <c r="L21" s="60" t="inlineStr">
        <is>
          <t>556f1cad5674dfe48a261c54</t>
        </is>
      </c>
      <c r="M21" s="75" t="inlineStr">
        <is>
          <t>2026-07-26T18:56:03+09:00</t>
        </is>
      </c>
      <c r="N21" s="60" t="inlineStr">
        <is>
          <t>New</t>
        </is>
      </c>
      <c r="O21" s="60" t="inlineStr"/>
    </row>
    <row r="22" ht="42" customHeight="1">
      <c r="A22" s="75" t="inlineStr">
        <is>
          <t>2026-07-26T19:51:39+09:00</t>
        </is>
      </c>
      <c r="B22" s="75" t="inlineStr">
        <is>
          <t>2026-07-24T13:00:14Z</t>
        </is>
      </c>
      <c r="C22" s="60" t="inlineStr">
        <is>
          <t>Global</t>
        </is>
      </c>
      <c r="D22" s="60" t="inlineStr">
        <is>
          <t>United Kingdom</t>
        </is>
      </c>
      <c r="E22" s="60" t="inlineStr">
        <is>
          <t>Artificial Intelligence</t>
        </is>
      </c>
      <c r="F22" s="76" t="n">
        <v>0</v>
      </c>
      <c r="G22" s="60" t="inlineStr">
        <is>
          <t>Major Media</t>
        </is>
      </c>
      <c r="H22" s="60" t="inlineStr">
        <is>
          <t>The Guardian Technology</t>
        </is>
      </c>
      <c r="I22" s="60" t="inlineStr">
        <is>
          <t>OpenAIのハッカーエージェントの話に懐疑的であるべき</t>
        </is>
      </c>
      <c r="J22" s="60" t="inlineStr">
        <is>
          <t>OpenAIがAIの危険性を強調することで、投資家はその力を認識する。GPT-2のリリースを控えた当時の懸念について、著者は過剰なリスク評価だと感じていた。</t>
        </is>
      </c>
      <c r="K22" s="60" t="inlineStr">
        <is>
          <t>https://www.theguardian.com/technology/2026/jul/24/openai-rogue-hacker</t>
        </is>
      </c>
      <c r="L22" s="60" t="inlineStr">
        <is>
          <t>ac01b28f85e133214755b7cc</t>
        </is>
      </c>
      <c r="M22" s="75" t="inlineStr">
        <is>
          <t>2026-07-26T19:51:39+09:00</t>
        </is>
      </c>
      <c r="N22" s="60" t="inlineStr">
        <is>
          <t>New</t>
        </is>
      </c>
      <c r="O22" s="60" t="inlineStr"/>
    </row>
    <row r="23" ht="42" customHeight="1">
      <c r="A23" s="75" t="inlineStr">
        <is>
          <t>2026-07-26T18:56:03+09:00</t>
        </is>
      </c>
      <c r="B23" s="75" t="inlineStr">
        <is>
          <t>2026-07-24T12:00:14Z</t>
        </is>
      </c>
      <c r="C23" s="60" t="inlineStr">
        <is>
          <t>Asia</t>
        </is>
      </c>
      <c r="D23" s="60" t="inlineStr">
        <is>
          <t>United Kingdom</t>
        </is>
      </c>
      <c r="E23" s="60" t="inlineStr">
        <is>
          <t>Artificial Intelligence</t>
        </is>
      </c>
      <c r="F23" s="76" t="n">
        <v>0</v>
      </c>
      <c r="G23" s="60" t="inlineStr">
        <is>
          <t>Major Media</t>
        </is>
      </c>
      <c r="H23" s="60" t="inlineStr">
        <is>
          <t>The Guardian Technology</t>
        </is>
      </c>
      <c r="I23" s="60" t="inlineStr">
        <is>
          <t>AIをタスクに使用すべきか？シンプルな判断方法</t>
        </is>
      </c>
      <c r="J23" s="60" t="inlineStr">
        <is>
          <t>ハーバード・ケネディスクールのブルース・シュナイアー教授は、AIを利用することの是非について考察。学生がAIを使って課題を完成させることが多いが、それが教育費の無駄になる可能性があると警告している。</t>
        </is>
      </c>
      <c r="K23" s="60" t="inlineStr">
        <is>
          <t>https://www.theguardian.com/commentisfree/2026/jul/24/should-you-use-ai</t>
        </is>
      </c>
      <c r="L23" s="60" t="inlineStr">
        <is>
          <t>d7259db0d54f48b0f5039bb8</t>
        </is>
      </c>
      <c r="M23" s="75" t="inlineStr">
        <is>
          <t>2026-07-26T18:56:03+09:00</t>
        </is>
      </c>
      <c r="N23" s="60" t="inlineStr">
        <is>
          <t>New</t>
        </is>
      </c>
      <c r="O23" s="60" t="inlineStr"/>
    </row>
    <row r="24" ht="42" customHeight="1">
      <c r="A24" s="75" t="inlineStr">
        <is>
          <t>2026-07-26T19:10:55+09:00</t>
        </is>
      </c>
      <c r="B24" s="75" t="inlineStr">
        <is>
          <t>2026-07-24T11:39:05Z</t>
        </is>
      </c>
      <c r="C24" s="60" t="inlineStr">
        <is>
          <t>Asia</t>
        </is>
      </c>
      <c r="D24" s="60" t="inlineStr">
        <is>
          <t>United Arab Emirates</t>
        </is>
      </c>
      <c r="E24" s="60" t="inlineStr">
        <is>
          <t>Artificial Intelligence</t>
        </is>
      </c>
      <c r="F24" s="76" t="n">
        <v>0</v>
      </c>
      <c r="G24" s="60" t="inlineStr">
        <is>
          <t>Major Media</t>
        </is>
      </c>
      <c r="H24" s="60" t="inlineStr">
        <is>
          <t>The National Technology</t>
        </is>
      </c>
      <c r="I24" s="60" t="inlineStr">
        <is>
          <t>Zoomがライブ音声翻訳サービスを開始、アラビア語は2026年末に対応</t>
        </is>
      </c>
      <c r="J24" s="60" t="inlineStr">
        <is>
          <t>Zoom Technologiesは新たにライブ音声翻訳サービスを開始し、初めは英語、中国語、フランス語、日本語、スペイン語の5言語が利用可能。アラビア語は2026年末に追加される予定で、ドイツ語、イタリア語、ポルトガル語も同時に対応する。</t>
        </is>
      </c>
      <c r="K24" s="60" t="inlineStr">
        <is>
          <t>https://www.thenationalnews.com/future/technology/2026/07/24/zoom-launches-live-voice-translation-with-arabic-coming-in-late-2026/</t>
        </is>
      </c>
      <c r="L24" s="60" t="inlineStr">
        <is>
          <t>9df818f0442aeef1a46447c7</t>
        </is>
      </c>
      <c r="M24" s="75" t="inlineStr">
        <is>
          <t>2026-07-26T19:10:55+09:00</t>
        </is>
      </c>
      <c r="N24" s="60" t="inlineStr">
        <is>
          <t>New</t>
        </is>
      </c>
      <c r="O24" s="60" t="inlineStr"/>
    </row>
    <row r="25" ht="42" customHeight="1">
      <c r="A25" s="75" t="inlineStr">
        <is>
          <t>2026-07-26T18:56:03+09:00</t>
        </is>
      </c>
      <c r="B25" s="75" t="inlineStr">
        <is>
          <t>2026-07-24T04:34:27Z</t>
        </is>
      </c>
      <c r="C25" s="60" t="inlineStr">
        <is>
          <t>Asia</t>
        </is>
      </c>
      <c r="D25" s="60" t="inlineStr">
        <is>
          <t>United States</t>
        </is>
      </c>
      <c r="E25" s="60" t="inlineStr">
        <is>
          <t>Artificial Intelligence | Semiconductors &amp; Telecom</t>
        </is>
      </c>
      <c r="F25" s="76" t="n">
        <v>0</v>
      </c>
      <c r="G25" s="60" t="inlineStr">
        <is>
          <t>Official Company</t>
        </is>
      </c>
      <c r="H25" s="60" t="inlineStr">
        <is>
          <t>NVIDIA Blog</t>
        </is>
      </c>
      <c r="I25" s="60" t="inlineStr">
        <is>
          <t>AIサミットで韓国がAIの未来を描く</t>
        </is>
      </c>
      <c r="J25" s="60" t="inlineStr">
        <is>
          <t>韓国の李在明大統領がサンフランシスコで開催されたAIサミットで、NVIDIAやパートナーと共に韓国のAIの進展を議論した。</t>
        </is>
      </c>
      <c r="K25" s="60" t="inlineStr">
        <is>
          <t>https://blogs.nvidia.com/blog/ai-summit-korea-partners-and-nvidia/</t>
        </is>
      </c>
      <c r="L25" s="60" t="inlineStr">
        <is>
          <t>3124530844eb0ac80a5a17e4</t>
        </is>
      </c>
      <c r="M25" s="75" t="inlineStr">
        <is>
          <t>2026-07-26T18:56:03+09:00</t>
        </is>
      </c>
      <c r="N25" s="60" t="inlineStr">
        <is>
          <t>New</t>
        </is>
      </c>
      <c r="O25" s="60" t="inlineStr"/>
    </row>
    <row r="26" ht="42" customHeight="1">
      <c r="A26" s="75" t="inlineStr">
        <is>
          <t>2026-07-26T18:56:03+09:00</t>
        </is>
      </c>
      <c r="B26" s="75" t="inlineStr">
        <is>
          <t>2026-07-24T00:00:00Z</t>
        </is>
      </c>
      <c r="C26" s="60" t="inlineStr">
        <is>
          <t>Global</t>
        </is>
      </c>
      <c r="D26" s="60" t="inlineStr">
        <is>
          <t>Global</t>
        </is>
      </c>
      <c r="E26" s="60" t="inlineStr">
        <is>
          <t>Artificial Intelligence</t>
        </is>
      </c>
      <c r="F26" s="76" t="n">
        <v>0</v>
      </c>
      <c r="G26" s="60" t="inlineStr">
        <is>
          <t>Scientific Publication</t>
        </is>
      </c>
      <c r="H26" s="60" t="inlineStr">
        <is>
          <t>Nature</t>
        </is>
      </c>
      <c r="I26" s="60" t="inlineStr">
        <is>
          <t>新たな化石が示すベビーT. rexの捕食者としての特性</t>
        </is>
      </c>
      <c r="J26" s="60" t="inlineStr">
        <is>
          <t>新たに発見された化石が、ベビーT. rexが誕生時から捕食者であった可能性を示唆している。</t>
        </is>
      </c>
      <c r="K26" s="60" t="inlineStr">
        <is>
          <t>https://www.nature.com/articles/d41586-026-02338-2</t>
        </is>
      </c>
      <c r="L26" s="60" t="inlineStr">
        <is>
          <t>d9ad7c48684afc35a7223f91</t>
        </is>
      </c>
      <c r="M26" s="75" t="inlineStr">
        <is>
          <t>2026-07-26T18:56:03+09:00</t>
        </is>
      </c>
      <c r="N26" s="60" t="inlineStr">
        <is>
          <t>New</t>
        </is>
      </c>
      <c r="O26" s="60" t="inlineStr"/>
    </row>
    <row r="27" ht="42" customHeight="1">
      <c r="A27" s="75" t="inlineStr">
        <is>
          <t>2026-07-26T18:56:03+09:00</t>
        </is>
      </c>
      <c r="B27" s="75" t="inlineStr">
        <is>
          <t>2026-07-24T00:00:00Z</t>
        </is>
      </c>
      <c r="C27" s="60" t="inlineStr">
        <is>
          <t>Global</t>
        </is>
      </c>
      <c r="D27" s="60" t="inlineStr">
        <is>
          <t>Global</t>
        </is>
      </c>
      <c r="E27" s="60" t="inlineStr">
        <is>
          <t>Biotechnology</t>
        </is>
      </c>
      <c r="F27" s="76" t="n">
        <v>0</v>
      </c>
      <c r="G27" s="60" t="inlineStr">
        <is>
          <t>Scientific Publication</t>
        </is>
      </c>
      <c r="H27" s="60" t="inlineStr">
        <is>
          <t>Nature</t>
        </is>
      </c>
      <c r="I27" s="60" t="inlineStr">
        <is>
          <t>CRISPR酵素が癌細胞をDNAを破壊して殺す</t>
        </is>
      </c>
      <c r="J27" s="60" t="inlineStr">
        <is>
          <t>新たなCRISPR酵素が、癌細胞のDNAを破壊することで癌細胞を殺す可能性があることが初期のテストで示された。</t>
        </is>
      </c>
      <c r="K27" s="60" t="inlineStr">
        <is>
          <t>https://www.nature.com/articles/d41586-026-02268-z</t>
        </is>
      </c>
      <c r="L27" s="60" t="inlineStr">
        <is>
          <t>006500c385193d3a42b6ae61</t>
        </is>
      </c>
      <c r="M27" s="75" t="inlineStr">
        <is>
          <t>2026-07-26T18:56:03+09:00</t>
        </is>
      </c>
      <c r="N27" s="60" t="inlineStr">
        <is>
          <t>New</t>
        </is>
      </c>
      <c r="O27" s="60" t="inlineStr"/>
    </row>
    <row r="28" ht="42" customHeight="1">
      <c r="A28" s="75" t="inlineStr">
        <is>
          <t>2026-07-26T18:56:03+09:00</t>
        </is>
      </c>
      <c r="B28" s="75" t="inlineStr">
        <is>
          <t>2026-07-23T20:01:35Z</t>
        </is>
      </c>
      <c r="C28" s="60" t="inlineStr">
        <is>
          <t>Global</t>
        </is>
      </c>
      <c r="D28" s="60" t="inlineStr">
        <is>
          <t>United States</t>
        </is>
      </c>
      <c r="E28" s="60" t="inlineStr">
        <is>
          <t>Semiconductors &amp; Telecom</t>
        </is>
      </c>
      <c r="F28" s="76" t="n">
        <v>0</v>
      </c>
      <c r="G28" s="60" t="inlineStr">
        <is>
          <t>Official Company</t>
        </is>
      </c>
      <c r="H28" s="60" t="inlineStr">
        <is>
          <t>Intel Newsroom</t>
        </is>
      </c>
      <c r="I28" s="60" t="inlineStr">
        <is>
          <t>インテル、2026年第2四半期の財務結果を報告</t>
        </is>
      </c>
      <c r="J28" s="60" t="inlineStr">
        <is>
          <t>インテルは、2026年第2四半期の財務結果を発表し、投資家向けのカンファレンスコールを開催する予定である。</t>
        </is>
      </c>
      <c r="K28" s="60" t="inlineStr">
        <is>
          <t>https://newsroom.intel.com/corporate/intel-reports-second-quarter-2026-financial-results</t>
        </is>
      </c>
      <c r="L28" s="60" t="inlineStr">
        <is>
          <t>bd78c44bc1aa5dc9d72bde44</t>
        </is>
      </c>
      <c r="M28" s="75" t="inlineStr">
        <is>
          <t>2026-07-26T18:56:03+09:00</t>
        </is>
      </c>
      <c r="N28" s="60" t="inlineStr">
        <is>
          <t>New</t>
        </is>
      </c>
      <c r="O28" s="60" t="inlineStr"/>
    </row>
    <row r="29" ht="42" customHeight="1">
      <c r="A29" s="75" t="inlineStr">
        <is>
          <t>2026-07-26T18:56:03+09:00</t>
        </is>
      </c>
      <c r="B29" s="75" t="inlineStr">
        <is>
          <t>2026-07-23T19:56:50Z</t>
        </is>
      </c>
      <c r="C29" s="60" t="inlineStr">
        <is>
          <t>United States</t>
        </is>
      </c>
      <c r="D29" s="60" t="inlineStr">
        <is>
          <t>United Kingdom</t>
        </is>
      </c>
      <c r="E29" s="60" t="inlineStr">
        <is>
          <t>Artificial Intelligence</t>
        </is>
      </c>
      <c r="F29" s="76" t="n">
        <v>0</v>
      </c>
      <c r="G29" s="60" t="inlineStr">
        <is>
          <t>Major Media</t>
        </is>
      </c>
      <c r="H29" s="60" t="inlineStr">
        <is>
          <t>The Guardian Technology</t>
        </is>
      </c>
      <c r="I29" s="60" t="inlineStr">
        <is>
          <t>トランプ、データセンターのコスト保護に関する誓約を発表</t>
        </is>
      </c>
      <c r="J29" s="60" t="inlineStr">
        <is>
          <t>トランプは、約200の企業がAIデータセンターの建設に伴うコストからアメリカの消費者を保護するという非拘束的な誓約に署名したと発表した。</t>
        </is>
      </c>
      <c r="K29" s="60" t="inlineStr">
        <is>
          <t>https://www.theguardian.com/us-news/2026/jul/23/trump-datacenter-costs-big-tech</t>
        </is>
      </c>
      <c r="L29" s="60" t="inlineStr">
        <is>
          <t>1ede7beb496d94bde434264e</t>
        </is>
      </c>
      <c r="M29" s="75" t="inlineStr">
        <is>
          <t>2026-07-26T18:56:03+09:00</t>
        </is>
      </c>
      <c r="N29" s="60" t="inlineStr">
        <is>
          <t>New</t>
        </is>
      </c>
      <c r="O29" s="60" t="inlineStr"/>
    </row>
    <row r="30" ht="42" customHeight="1">
      <c r="A30" s="75" t="inlineStr">
        <is>
          <t>2026-07-26T18:56:03+09:00</t>
        </is>
      </c>
      <c r="B30" s="75" t="inlineStr">
        <is>
          <t>2026-07-23T18:00:00Z</t>
        </is>
      </c>
      <c r="C30" s="60" t="inlineStr">
        <is>
          <t>Asia</t>
        </is>
      </c>
      <c r="D30" s="60" t="inlineStr">
        <is>
          <t>South Korea</t>
        </is>
      </c>
      <c r="E30" s="60" t="inlineStr">
        <is>
          <t>Semiconductors &amp; Telecom</t>
        </is>
      </c>
      <c r="F30" s="76" t="n">
        <v>0</v>
      </c>
      <c r="G30" s="60" t="inlineStr">
        <is>
          <t>Official Company</t>
        </is>
      </c>
      <c r="H30" s="60" t="inlineStr">
        <is>
          <t>Samsung Global Newsroom</t>
        </is>
      </c>
      <c r="I30" s="60" t="inlineStr">
        <is>
          <t>Galaxy Unpackedのハイライト</t>
        </is>
      </c>
      <c r="J30" s="60" t="inlineStr">
        <is>
          <t>サムスンは、ロンドンで開催されたGalaxy Unpacked July 2026で、次世代の折りたたみ式デバイスや健康機能を強化したスマートウォッチを発表した。新しいAI技術を搭載した製品が紹介された。</t>
        </is>
      </c>
      <c r="K30" s="60" t="inlineStr">
        <is>
          <t>https://news.samsung.com/global/infographic-galaxy-unpacked-july-2026-highlights-from-galaxy-unpacked</t>
        </is>
      </c>
      <c r="L30" s="60" t="inlineStr">
        <is>
          <t>ee2b658cb0dfffbcc854ebab</t>
        </is>
      </c>
      <c r="M30" s="75" t="inlineStr">
        <is>
          <t>2026-07-26T18:56:03+09:00</t>
        </is>
      </c>
      <c r="N30" s="60" t="inlineStr">
        <is>
          <t>New</t>
        </is>
      </c>
      <c r="O30" s="60" t="inlineStr"/>
    </row>
    <row r="31" ht="42" customHeight="1">
      <c r="A31" s="75" t="inlineStr">
        <is>
          <t>2026-07-26T18:56:03+09:00</t>
        </is>
      </c>
      <c r="B31" s="75" t="inlineStr">
        <is>
          <t>2026-07-23T16:58:28Z</t>
        </is>
      </c>
      <c r="C31" s="60" t="inlineStr">
        <is>
          <t>Global</t>
        </is>
      </c>
      <c r="D31" s="60" t="inlineStr">
        <is>
          <t>United States</t>
        </is>
      </c>
      <c r="E31" s="60" t="inlineStr">
        <is>
          <t>Biotechnology</t>
        </is>
      </c>
      <c r="F31" s="76" t="n">
        <v>0</v>
      </c>
      <c r="G31" s="60" t="inlineStr">
        <is>
          <t>Major Media</t>
        </is>
      </c>
      <c r="H31" s="60" t="inlineStr">
        <is>
          <t>MIT Technology Review</t>
        </is>
      </c>
      <c r="I31" s="60" t="inlineStr">
        <is>
          <t>超冷却腎臓が豚に移植される</t>
        </is>
      </c>
      <c r="J31" s="60" t="inlineStr">
        <is>
          <t>臓器提供において、時間が重要である中、超冷却された腎臓が豚に移植されるという画期的な成果が報告された。臓器の劣化を防ぐための新たな技術が期待される。</t>
        </is>
      </c>
      <c r="K31" s="60" t="inlineStr">
        <is>
          <t>https://www.technologyreview.com/2026/07/23/1140765/supercooled-kidneys-have-been-transplanted-into-pigs-in-a-landmark-achievement/</t>
        </is>
      </c>
      <c r="L31" s="60" t="inlineStr">
        <is>
          <t>590a8cbd726d99d379ccecb1</t>
        </is>
      </c>
      <c r="M31" s="75" t="inlineStr">
        <is>
          <t>2026-07-26T18:56:03+09:00</t>
        </is>
      </c>
      <c r="N31" s="60" t="inlineStr">
        <is>
          <t>New</t>
        </is>
      </c>
      <c r="O31" s="60" t="inlineStr"/>
    </row>
    <row r="32" ht="42" customHeight="1">
      <c r="A32" s="75" t="inlineStr">
        <is>
          <t>2026-07-26T18:56:03+09:00</t>
        </is>
      </c>
      <c r="B32" s="75" t="inlineStr">
        <is>
          <t>2026-07-23T16:45:56Z</t>
        </is>
      </c>
      <c r="C32" s="60" t="inlineStr">
        <is>
          <t>Global</t>
        </is>
      </c>
      <c r="D32" s="60" t="inlineStr">
        <is>
          <t>United Kingdom</t>
        </is>
      </c>
      <c r="E32" s="60" t="inlineStr">
        <is>
          <t>Artificial Intelligence</t>
        </is>
      </c>
      <c r="F32" s="76" t="n">
        <v>0</v>
      </c>
      <c r="G32" s="60" t="inlineStr">
        <is>
          <t>Major Media</t>
        </is>
      </c>
      <c r="H32" s="60" t="inlineStr">
        <is>
          <t>The Guardian Technology</t>
        </is>
      </c>
      <c r="I32" s="60" t="inlineStr">
        <is>
          <t>ブリティッシュ・ガス、AIチャットボットの導入で1300人の雇用削減</t>
        </is>
      </c>
      <c r="J32" s="60" t="inlineStr">
        <is>
          <t>ブリティッシュ・ガスの親会社Centricaは、AIチャットボットを導入することで多くの家庭がスタッフよりもチャットボットと話すことを好むと主張し、1300人の雇用を削減する計画を発表した。</t>
        </is>
      </c>
      <c r="K32" s="60" t="inlineStr">
        <is>
          <t>https://www.theguardian.com/business/2026/jul/23/customers-prefer-ai-chatbots-says-chris-oshea-british-gas-centrica-boss</t>
        </is>
      </c>
      <c r="L32" s="60" t="inlineStr">
        <is>
          <t>2ef05538ad59fc3911318d3f</t>
        </is>
      </c>
      <c r="M32" s="75" t="inlineStr">
        <is>
          <t>2026-07-26T18:56:03+09:00</t>
        </is>
      </c>
      <c r="N32" s="60" t="inlineStr">
        <is>
          <t>New</t>
        </is>
      </c>
      <c r="O32" s="60" t="inlineStr"/>
    </row>
    <row r="33" ht="42" customHeight="1">
      <c r="A33" s="75" t="inlineStr">
        <is>
          <t>2026-07-26T18:56:03+09:00</t>
        </is>
      </c>
      <c r="B33" s="75" t="inlineStr">
        <is>
          <t>2026-07-23T16:00:00Z</t>
        </is>
      </c>
      <c r="C33" s="60" t="inlineStr">
        <is>
          <t>Asia</t>
        </is>
      </c>
      <c r="D33" s="60" t="inlineStr">
        <is>
          <t>South Korea</t>
        </is>
      </c>
      <c r="E33" s="60" t="inlineStr">
        <is>
          <t>Semiconductors &amp; Telecom | Healthcare</t>
        </is>
      </c>
      <c r="F33" s="76" t="n">
        <v>0</v>
      </c>
      <c r="G33" s="60" t="inlineStr">
        <is>
          <t>Official Company</t>
        </is>
      </c>
      <c r="H33" s="60" t="inlineStr">
        <is>
          <t>Samsung Global Newsroom</t>
        </is>
      </c>
      <c r="I33" s="60" t="inlineStr">
        <is>
          <t>サムスン、デジタルヘルスの未来を描く</t>
        </is>
      </c>
      <c r="J33" s="60" t="inlineStr">
        <is>
          <t>サムスン電子は、ロンドンで開催されたGalaxy Unpacked July 2026で、予防的かつ個別化されたデジタルヘルスの未来を提案した。医療エコシステム全体との信頼できるパートナーシップを通じて、接続された体験を提供することを目指している。</t>
        </is>
      </c>
      <c r="K33" s="60" t="inlineStr">
        <is>
          <t>https://news.samsung.com/global/galaxy-unpacked-july-2026-samsung-and-partners-envision-a-connected-care-future-from-first-signal-to-lasting-change</t>
        </is>
      </c>
      <c r="L33" s="60" t="inlineStr">
        <is>
          <t>032ebcb3943c83074eb9bcf5</t>
        </is>
      </c>
      <c r="M33" s="75" t="inlineStr">
        <is>
          <t>2026-07-26T18:56:03+09:00</t>
        </is>
      </c>
      <c r="N33" s="60" t="inlineStr">
        <is>
          <t>New</t>
        </is>
      </c>
      <c r="O33" s="60" t="inlineStr"/>
    </row>
    <row r="34" ht="42" customHeight="1">
      <c r="A34" s="75" t="inlineStr">
        <is>
          <t>2026-07-26T18:56:03+09:00</t>
        </is>
      </c>
      <c r="B34" s="75" t="inlineStr">
        <is>
          <t>2026-07-23T15:27:52Z</t>
        </is>
      </c>
      <c r="C34" s="60" t="inlineStr">
        <is>
          <t>United States</t>
        </is>
      </c>
      <c r="D34" s="60" t="inlineStr">
        <is>
          <t>United Kingdom</t>
        </is>
      </c>
      <c r="E34" s="60" t="inlineStr">
        <is>
          <t>Artificial Intelligence</t>
        </is>
      </c>
      <c r="F34" s="76" t="n">
        <v>1</v>
      </c>
      <c r="G34" s="60" t="inlineStr">
        <is>
          <t>Major Media</t>
        </is>
      </c>
      <c r="H34" s="60" t="inlineStr">
        <is>
          <t>The Guardian Technology</t>
        </is>
      </c>
      <c r="I34" s="60" t="inlineStr">
        <is>
          <t>イーロン・マスク、トランプとの関係を振り返る</t>
        </is>
      </c>
      <c r="J34" s="60" t="inlineStr">
        <is>
          <t>イーロン・マスクは、ドナルド・トランプとの関係において政治に没頭しすぎたと認め、企業運営にもっと集中すべきだったと語った。彼は、外国の戦争やAIに関する見解を共有し、いくつかの驚くべき予測を行った。</t>
        </is>
      </c>
      <c r="K34" s="60" t="inlineStr">
        <is>
          <t>https://www.theguardian.com/technology/2026/jul/23/elon-musk-regret-trump-doge-ai</t>
        </is>
      </c>
      <c r="L34" s="60" t="inlineStr">
        <is>
          <t>5ab5ea23fbff158109e679af</t>
        </is>
      </c>
      <c r="M34" s="75" t="inlineStr">
        <is>
          <t>2026-07-26T18:56:03+09:00</t>
        </is>
      </c>
      <c r="N34" s="60" t="inlineStr">
        <is>
          <t>New</t>
        </is>
      </c>
      <c r="O34" s="60" t="inlineStr"/>
    </row>
    <row r="35" ht="42" customHeight="1">
      <c r="A35" s="75" t="inlineStr">
        <is>
          <t>2026-07-26T18:56:03+09:00</t>
        </is>
      </c>
      <c r="B35" s="75" t="inlineStr">
        <is>
          <t>2026-07-23T15:00:48Z</t>
        </is>
      </c>
      <c r="C35" s="60" t="inlineStr">
        <is>
          <t>Global</t>
        </is>
      </c>
      <c r="D35" s="60" t="inlineStr">
        <is>
          <t>United Kingdom</t>
        </is>
      </c>
      <c r="E35" s="60" t="inlineStr">
        <is>
          <t>Innovation Policy</t>
        </is>
      </c>
      <c r="F35" s="76" t="n">
        <v>1</v>
      </c>
      <c r="G35" s="60" t="inlineStr">
        <is>
          <t>Major Media</t>
        </is>
      </c>
      <c r="H35" s="60" t="inlineStr">
        <is>
          <t>The Guardian Technology</t>
        </is>
      </c>
      <c r="I35" s="60" t="inlineStr">
        <is>
          <t>roaring 20s: 現在の10年が映画を革命化した</t>
        </is>
      </c>
      <c r="J35" s="60" t="inlineStr">
        <is>
          <t>映画産業は常に新たな革新を求めており、2020年代の特徴は衰退であるとの見解が示されています。</t>
        </is>
      </c>
      <c r="K35" s="60" t="inlineStr">
        <is>
          <t>https://www.theguardian.com/film/2026/jul/23/how-2020s-decade-revolutionised-cinema</t>
        </is>
      </c>
      <c r="L35" s="60" t="inlineStr">
        <is>
          <t>f8939f05439f07fdefca04fc</t>
        </is>
      </c>
      <c r="M35" s="75" t="inlineStr">
        <is>
          <t>2026-07-26T18:56:03+09:00</t>
        </is>
      </c>
      <c r="N35" s="60" t="inlineStr">
        <is>
          <t>New</t>
        </is>
      </c>
      <c r="O35" s="60" t="inlineStr"/>
    </row>
    <row r="36" ht="42" customHeight="1">
      <c r="A36" s="75" t="inlineStr">
        <is>
          <t>2026-07-26T18:56:03+09:00</t>
        </is>
      </c>
      <c r="B36" s="75" t="inlineStr">
        <is>
          <t>2026-07-23T13:00:16Z</t>
        </is>
      </c>
      <c r="C36" s="60" t="inlineStr">
        <is>
          <t>Global</t>
        </is>
      </c>
      <c r="D36" s="60" t="inlineStr">
        <is>
          <t>United States</t>
        </is>
      </c>
      <c r="E36" s="60" t="inlineStr">
        <is>
          <t>Semiconductors &amp; Telecom</t>
        </is>
      </c>
      <c r="F36" s="76" t="n">
        <v>0</v>
      </c>
      <c r="G36" s="60" t="inlineStr">
        <is>
          <t>Official Company</t>
        </is>
      </c>
      <c r="H36" s="60" t="inlineStr">
        <is>
          <t>NVIDIA Blog</t>
        </is>
      </c>
      <c r="I36" s="60" t="inlineStr">
        <is>
          <t>GeForce NOWが『Path of Exile: Curse of the Allflame』を追加</t>
        </is>
      </c>
      <c r="J36" s="60" t="inlineStr">
        <is>
          <t>GeForce NOWが新しいコンテンツを提供し、ユーザーはダウンロードを待たずにゲームを楽しむことができます。</t>
        </is>
      </c>
      <c r="K36" s="60" t="inlineStr">
        <is>
          <t>https://blogs.nvidia.com/blog/geforce-now-thursday-path-of-exile-allflame/</t>
        </is>
      </c>
      <c r="L36" s="60" t="inlineStr">
        <is>
          <t>d6df6c9a47b33117f5bcb1be</t>
        </is>
      </c>
      <c r="M36" s="75" t="inlineStr">
        <is>
          <t>2026-07-26T18:56:03+09:00</t>
        </is>
      </c>
      <c r="N36" s="60" t="inlineStr">
        <is>
          <t>New</t>
        </is>
      </c>
      <c r="O36" s="60" t="inlineStr"/>
    </row>
    <row r="37" ht="42" customHeight="1">
      <c r="A37" s="75" t="inlineStr">
        <is>
          <t>2026-07-26T18:56:03+09:00</t>
        </is>
      </c>
      <c r="B37" s="75" t="inlineStr">
        <is>
          <t>2026-07-23T12:00:00Z</t>
        </is>
      </c>
      <c r="C37" s="60" t="inlineStr">
        <is>
          <t>Global</t>
        </is>
      </c>
      <c r="D37" s="60" t="inlineStr">
        <is>
          <t>United States</t>
        </is>
      </c>
      <c r="E37" s="60" t="inlineStr">
        <is>
          <t>Artificial Intelligence | Healthcare</t>
        </is>
      </c>
      <c r="F37" s="76" t="n">
        <v>0</v>
      </c>
      <c r="G37" s="60" t="inlineStr">
        <is>
          <t>Major Media</t>
        </is>
      </c>
      <c r="H37" s="60" t="inlineStr">
        <is>
          <t>MIT Technology Review</t>
        </is>
      </c>
      <c r="I37" s="60" t="inlineStr">
        <is>
          <t>AIが科学者の次世代医薬品設計を支援</t>
        </is>
      </c>
      <c r="J37" s="60" t="inlineStr">
        <is>
          <t>新しい医薬品の設計と開発は高コストで失敗しやすい科学的課題であり、AIがそのプロセスを支援する可能性があります。</t>
        </is>
      </c>
      <c r="K37" s="60" t="inlineStr">
        <is>
          <t>https://www.technologyreview.com/2026/07/23/1140346/how-ai-helps-scientists-design-the-next-generation-of-medicines/</t>
        </is>
      </c>
      <c r="L37" s="60" t="inlineStr">
        <is>
          <t>f283b79f845eeb45783eb41c</t>
        </is>
      </c>
      <c r="M37" s="75" t="inlineStr">
        <is>
          <t>2026-07-26T18:56:03+09:00</t>
        </is>
      </c>
      <c r="N37" s="60" t="inlineStr">
        <is>
          <t>New</t>
        </is>
      </c>
      <c r="O37" s="60" t="inlineStr"/>
    </row>
    <row r="38" ht="42" customHeight="1">
      <c r="A38" s="75" t="inlineStr">
        <is>
          <t>2026-07-26T18:56:03+09:00</t>
        </is>
      </c>
      <c r="B38" s="75" t="inlineStr">
        <is>
          <t>2026-07-23T09:23:23Z</t>
        </is>
      </c>
      <c r="C38" s="60" t="inlineStr">
        <is>
          <t>EU &amp; Europe</t>
        </is>
      </c>
      <c r="D38" s="60" t="inlineStr">
        <is>
          <t>Belgium</t>
        </is>
      </c>
      <c r="E38" s="60" t="inlineStr">
        <is>
          <t>Innovation Policy</t>
        </is>
      </c>
      <c r="F38" s="76" t="n">
        <v>4</v>
      </c>
      <c r="G38" s="60" t="inlineStr">
        <is>
          <t>Policy Institute</t>
        </is>
      </c>
      <c r="H38" s="60" t="inlineStr">
        <is>
          <t>Bruegel</t>
        </is>
      </c>
      <c r="I38" s="60" t="inlineStr">
        <is>
          <t>EUの規制改善アジェンダは競争力をもたらすか</t>
        </is>
      </c>
      <c r="J38" s="60" t="inlineStr">
        <is>
          <t>EUの規制改善アジェンダが競争力を向上させるかどうかについての議論が行われています。</t>
        </is>
      </c>
      <c r="K38" s="60" t="inlineStr">
        <is>
          <t>https://www.bruegel.org/node/12451</t>
        </is>
      </c>
      <c r="L38" s="60" t="inlineStr">
        <is>
          <t>90ef16bcfe1bd00925658dc5</t>
        </is>
      </c>
      <c r="M38" s="75" t="inlineStr">
        <is>
          <t>2026-07-26T18:56:03+09:00</t>
        </is>
      </c>
      <c r="N38" s="60" t="inlineStr">
        <is>
          <t>New</t>
        </is>
      </c>
      <c r="O38" s="60" t="inlineStr"/>
    </row>
    <row r="39" ht="42" customHeight="1">
      <c r="A39" s="75" t="inlineStr">
        <is>
          <t>2026-07-26T18:56:03+09:00</t>
        </is>
      </c>
      <c r="B39" s="75" t="inlineStr">
        <is>
          <t>2026-07-23T08:00:24Z</t>
        </is>
      </c>
      <c r="C39" s="60" t="inlineStr">
        <is>
          <t>Global</t>
        </is>
      </c>
      <c r="D39" s="60" t="inlineStr">
        <is>
          <t>Global</t>
        </is>
      </c>
      <c r="E39" s="60" t="inlineStr">
        <is>
          <t>Healthcare</t>
        </is>
      </c>
      <c r="F39" s="76" t="n">
        <v>1</v>
      </c>
      <c r="G39" s="60" t="inlineStr">
        <is>
          <t>Intergovernmental</t>
        </is>
      </c>
      <c r="H39" s="60" t="inlineStr">
        <is>
          <t>WHO News</t>
        </is>
      </c>
      <c r="I39" s="60" t="inlineStr">
        <is>
          <t>WHOが溺死防止のための7つの戦略を発表</t>
        </is>
      </c>
      <c r="J39" s="60" t="inlineStr">
        <is>
          <t>世界保健機関（WHO）は、7月25日の世界溺死防止デーに向けて、溺死を減少させるための新しい技術パッケージを発表しました。</t>
        </is>
      </c>
      <c r="K39" s="60" t="inlineStr">
        <is>
          <t>https://www.who.int/news/item/23-07-2026-who-launches-seven-strategies-to-prevent-drowning</t>
        </is>
      </c>
      <c r="L39" s="60" t="inlineStr">
        <is>
          <t>57adeb9edafee5c65dff443d</t>
        </is>
      </c>
      <c r="M39" s="75" t="inlineStr">
        <is>
          <t>2026-07-26T18:56:03+09:00</t>
        </is>
      </c>
      <c r="N39" s="60" t="inlineStr">
        <is>
          <t>New</t>
        </is>
      </c>
      <c r="O39" s="60" t="inlineStr"/>
    </row>
    <row r="40" ht="42" customHeight="1">
      <c r="A40" s="75" t="inlineStr">
        <is>
          <t>2026-07-26T18:56:03+09:00</t>
        </is>
      </c>
      <c r="B40" s="75" t="inlineStr">
        <is>
          <t>2026-07-23T02:00:46Z</t>
        </is>
      </c>
      <c r="C40" s="60" t="inlineStr">
        <is>
          <t>Global</t>
        </is>
      </c>
      <c r="D40" s="60" t="inlineStr">
        <is>
          <t>United States</t>
        </is>
      </c>
      <c r="E40" s="60" t="inlineStr">
        <is>
          <t>Semiconductors &amp; Telecom</t>
        </is>
      </c>
      <c r="F40" s="76" t="n">
        <v>1</v>
      </c>
      <c r="G40" s="60" t="inlineStr">
        <is>
          <t>Official Company</t>
        </is>
      </c>
      <c r="H40" s="60" t="inlineStr">
        <is>
          <t>NVIDIA Blog</t>
        </is>
      </c>
      <c r="I40" s="60" t="inlineStr">
        <is>
          <t>NVIDIAのAIスパコンが海軍大学院校で稼働開始</t>
        </is>
      </c>
      <c r="J40" s="60" t="inlineStr">
        <is>
          <t>NVIDIAの創業者兼CEO、ジェンセン・ファンがカリフォルニア州モントレーの海軍大学院校を訪れ、NVIDIA DGX GB300システムを稼働させました。</t>
        </is>
      </c>
      <c r="K40" s="60" t="inlineStr">
        <is>
          <t>https://blogs.nvidia.com/blog/naval-postgraduate-school-dgx-ai-supercomputer/</t>
        </is>
      </c>
      <c r="L40" s="60" t="inlineStr">
        <is>
          <t>c174fc131c4d55cb839833e9</t>
        </is>
      </c>
      <c r="M40" s="75" t="inlineStr">
        <is>
          <t>2026-07-26T18:56:03+09:00</t>
        </is>
      </c>
      <c r="N40" s="60" t="inlineStr">
        <is>
          <t>New</t>
        </is>
      </c>
      <c r="O40" s="60" t="inlineStr"/>
    </row>
    <row r="41" ht="42" customHeight="1">
      <c r="A41" s="75" t="inlineStr">
        <is>
          <t>2026-07-26T19:05:06+09:00</t>
        </is>
      </c>
      <c r="B41" s="75" t="inlineStr">
        <is>
          <t>2026-07-23T00:00:00Z</t>
        </is>
      </c>
      <c r="C41" s="60" t="inlineStr">
        <is>
          <t>United States</t>
        </is>
      </c>
      <c r="D41" s="60" t="inlineStr">
        <is>
          <t>United States</t>
        </is>
      </c>
      <c r="E41" s="60" t="inlineStr">
        <is>
          <t>Innovation Policy</t>
        </is>
      </c>
      <c r="F41" s="76" t="n">
        <v>3</v>
      </c>
      <c r="G41" s="60" t="inlineStr">
        <is>
          <t>Policy Institute</t>
        </is>
      </c>
      <c r="H41" s="60" t="inlineStr">
        <is>
          <t>Brookings TechTank</t>
        </is>
      </c>
      <c r="I41" s="60" t="inlineStr">
        <is>
          <t>テクノロジー企業が職業の懸念とスキル開発にどう対処すべきか</t>
        </is>
      </c>
      <c r="J41" s="60" t="inlineStr">
        <is>
          <t>テクノロジー企業は、職業に関する懸念やスキル開発に対してどのように取り組むべきかについての考察が求められています。</t>
        </is>
      </c>
      <c r="K41" s="60" t="inlineStr">
        <is>
          <t>https://www.brookings.edu/articles/how-tech-firms-should-address-job-concerns-and-skill-development/</t>
        </is>
      </c>
      <c r="L41" s="60" t="inlineStr">
        <is>
          <t>0d48c18a0657c35e8abe7133</t>
        </is>
      </c>
      <c r="M41" s="75" t="inlineStr">
        <is>
          <t>2026-07-26T19:05:06+09:00</t>
        </is>
      </c>
      <c r="N41" s="60" t="inlineStr">
        <is>
          <t>New</t>
        </is>
      </c>
      <c r="O41" s="60" t="inlineStr"/>
    </row>
    <row r="42" ht="42" customHeight="1">
      <c r="A42" s="75" t="inlineStr">
        <is>
          <t>2026-07-26T18:56:03+09:00</t>
        </is>
      </c>
      <c r="B42" s="75" t="inlineStr">
        <is>
          <t>2026-07-23T00:00:00Z</t>
        </is>
      </c>
      <c r="C42" s="60" t="inlineStr">
        <is>
          <t>Global</t>
        </is>
      </c>
      <c r="D42" s="60" t="inlineStr">
        <is>
          <t>United States</t>
        </is>
      </c>
      <c r="E42" s="60" t="inlineStr">
        <is>
          <t>Artificial Intelligence | Healthcare</t>
        </is>
      </c>
      <c r="F42" s="76" t="n">
        <v>1</v>
      </c>
      <c r="G42" s="60" t="inlineStr">
        <is>
          <t>Official Company</t>
        </is>
      </c>
      <c r="H42" s="60" t="inlineStr">
        <is>
          <t>OpenAI News</t>
        </is>
      </c>
      <c r="I42" s="60" t="inlineStr">
        <is>
          <t>ChatGPTにおける健康機能の開始</t>
        </is>
      </c>
      <c r="J42" s="60" t="inlineStr">
        <is>
          <t>ChatGPTの健康機能により、米国の適格ユーザーは医療記録やApple Healthを安全に接続し、より個別化された健康情報を得ることが可能になりました。</t>
        </is>
      </c>
      <c r="K42" s="60" t="inlineStr">
        <is>
          <t>https://openai.com/index/health-in-chatgpt</t>
        </is>
      </c>
      <c r="L42" s="60" t="inlineStr">
        <is>
          <t>bf70d809f9542eeef4af8727</t>
        </is>
      </c>
      <c r="M42" s="75" t="inlineStr">
        <is>
          <t>2026-07-26T18:56:03+09:00</t>
        </is>
      </c>
      <c r="N42" s="60" t="inlineStr">
        <is>
          <t>New</t>
        </is>
      </c>
      <c r="O42" s="60" t="inlineStr"/>
    </row>
    <row r="43" ht="42" customHeight="1">
      <c r="A43" s="75" t="inlineStr">
        <is>
          <t>2026-07-26T18:56:03+09:00</t>
        </is>
      </c>
      <c r="B43" s="75" t="inlineStr">
        <is>
          <t>2026-07-23T00:00:00Z</t>
        </is>
      </c>
      <c r="C43" s="60" t="inlineStr">
        <is>
          <t>United States</t>
        </is>
      </c>
      <c r="D43" s="60" t="inlineStr">
        <is>
          <t>Global</t>
        </is>
      </c>
      <c r="E43" s="60" t="inlineStr">
        <is>
          <t>Healthcare</t>
        </is>
      </c>
      <c r="F43" s="76" t="n">
        <v>0</v>
      </c>
      <c r="G43" s="60" t="inlineStr">
        <is>
          <t>Scientific Publication</t>
        </is>
      </c>
      <c r="H43" s="60" t="inlineStr">
        <is>
          <t>Nature</t>
        </is>
      </c>
      <c r="I43" s="60" t="inlineStr">
        <is>
          <t>アメリカの健康政策は科学的検証に耐えうるのか</t>
        </is>
      </c>
      <c r="J43" s="60" t="inlineStr">
        <is>
          <t>研究者たちは、ワクチンから栄養に至るまで、アメリカの健康政策に関する見解を共有しています。</t>
        </is>
      </c>
      <c r="K43" s="60" t="inlineStr">
        <is>
          <t>https://www.nature.com/articles/d41586-026-02024-3</t>
        </is>
      </c>
      <c r="L43" s="60" t="inlineStr">
        <is>
          <t>29dc020f76be264fafefbdc5</t>
        </is>
      </c>
      <c r="M43" s="75" t="inlineStr">
        <is>
          <t>2026-07-26T18:56:03+09:00</t>
        </is>
      </c>
      <c r="N43" s="60" t="inlineStr">
        <is>
          <t>New</t>
        </is>
      </c>
      <c r="O43" s="60" t="inlineStr"/>
    </row>
    <row r="44" ht="42" customHeight="1">
      <c r="A44" s="75" t="inlineStr">
        <is>
          <t>2026-07-26T18:56:03+09:00</t>
        </is>
      </c>
      <c r="B44" s="75" t="inlineStr">
        <is>
          <t>2026-07-23T00:00:00Z</t>
        </is>
      </c>
      <c r="C44" s="60" t="inlineStr">
        <is>
          <t>Global</t>
        </is>
      </c>
      <c r="D44" s="60" t="inlineStr">
        <is>
          <t>Global</t>
        </is>
      </c>
      <c r="E44" s="60" t="inlineStr">
        <is>
          <t>Quantum</t>
        </is>
      </c>
      <c r="F44" s="76" t="n">
        <v>0</v>
      </c>
      <c r="G44" s="60" t="inlineStr">
        <is>
          <t>Scientific Publication</t>
        </is>
      </c>
      <c r="H44" s="60" t="inlineStr">
        <is>
          <t>Nature</t>
        </is>
      </c>
      <c r="I44" s="60" t="inlineStr">
        <is>
          <t>日々のブリーフィング：オルカがサンフィッシュを粉砕</t>
        </is>
      </c>
      <c r="J44" s="60" t="inlineStr">
        <is>
          <t>オルカがサンフィッシュを粉砕する行動は、子供たちに食べ物を与える手助けか、単に楽しんでいるのかが議論されています。</t>
        </is>
      </c>
      <c r="K44" s="60" t="inlineStr">
        <is>
          <t>https://www.nature.com/articles/d41586-026-02307-9</t>
        </is>
      </c>
      <c r="L44" s="60" t="inlineStr">
        <is>
          <t>38109aea610319dbc3f32aef</t>
        </is>
      </c>
      <c r="M44" s="75" t="inlineStr">
        <is>
          <t>2026-07-26T18:56:03+09:00</t>
        </is>
      </c>
      <c r="N44" s="60" t="inlineStr">
        <is>
          <t>New</t>
        </is>
      </c>
      <c r="O44" s="60" t="inlineStr"/>
    </row>
    <row r="45" ht="42" customHeight="1">
      <c r="A45" s="75" t="inlineStr">
        <is>
          <t>2026-07-26T18:56:03+09:00</t>
        </is>
      </c>
      <c r="B45" s="75" t="inlineStr">
        <is>
          <t>2026-07-22T22:04:00Z</t>
        </is>
      </c>
      <c r="C45" s="60" t="inlineStr">
        <is>
          <t>Asia</t>
        </is>
      </c>
      <c r="D45" s="60" t="inlineStr">
        <is>
          <t>South Korea</t>
        </is>
      </c>
      <c r="E45" s="60" t="inlineStr">
        <is>
          <t>Semiconductors &amp; Telecom</t>
        </is>
      </c>
      <c r="F45" s="76" t="n">
        <v>0</v>
      </c>
      <c r="G45" s="60" t="inlineStr">
        <is>
          <t>Official Company</t>
        </is>
      </c>
      <c r="H45" s="60" t="inlineStr">
        <is>
          <t>Samsung Global Newsroom</t>
        </is>
      </c>
      <c r="I45" s="60" t="inlineStr">
        <is>
          <t>[Galaxy Unpacked 2026年7月] Galaxy Z Fold8 Ultra、Galaxy Z Fold8、Galaxy Z Flip8の初公開</t>
        </is>
      </c>
      <c r="J45" s="60" t="inlineStr">
        <is>
          <t>2026年7月のGalaxy Unpackedで、サムスン電子は第8世代Galaxy Zシリーズを発表し、異なるライフスタイルに合わせた折りたたみ式デバイスを提供しました。</t>
        </is>
      </c>
      <c r="K45" s="60" t="inlineStr">
        <is>
          <t>https://news.samsung.com/global/galaxy-unpacked-july-2026-a-first-look-at-galaxy-z-fold8-ultra-galaxy-z-fold8-and-galaxy-z-flip8</t>
        </is>
      </c>
      <c r="L45" s="60" t="inlineStr">
        <is>
          <t>6871adffe89103810dfccf11</t>
        </is>
      </c>
      <c r="M45" s="75" t="inlineStr">
        <is>
          <t>2026-07-26T18:56:03+09:00</t>
        </is>
      </c>
      <c r="N45" s="60" t="inlineStr">
        <is>
          <t>New</t>
        </is>
      </c>
      <c r="O45" s="60" t="inlineStr"/>
    </row>
    <row r="46" ht="42" customHeight="1">
      <c r="A46" s="75" t="inlineStr">
        <is>
          <t>2026-07-26T18:56:03+09:00</t>
        </is>
      </c>
      <c r="B46" s="75" t="inlineStr">
        <is>
          <t>2026-07-22T22:03:00Z</t>
        </is>
      </c>
      <c r="C46" s="60" t="inlineStr">
        <is>
          <t>Asia</t>
        </is>
      </c>
      <c r="D46" s="60" t="inlineStr">
        <is>
          <t>South Korea</t>
        </is>
      </c>
      <c r="E46" s="60" t="inlineStr">
        <is>
          <t>Semiconductors &amp; Telecom</t>
        </is>
      </c>
      <c r="F46" s="76" t="n">
        <v>0</v>
      </c>
      <c r="G46" s="60" t="inlineStr">
        <is>
          <t>Official Company</t>
        </is>
      </c>
      <c r="H46" s="60" t="inlineStr">
        <is>
          <t>Samsung Global Newsroom</t>
        </is>
      </c>
      <c r="I46" s="60" t="inlineStr">
        <is>
          <t>[Galaxy Unpacked 2026年7月] Galaxy Watch Ultra2とGalaxy Watch9の初公開</t>
        </is>
      </c>
      <c r="J46" s="60" t="inlineStr">
        <is>
          <t>2026年7月のGalaxy Unpackedで、サムスン電子はGalaxy Watch Ultra2とGalaxy Watch9を発表し、デジタル健康体験を拡大しました。</t>
        </is>
      </c>
      <c r="K46" s="60" t="inlineStr">
        <is>
          <t>https://news.samsung.com/global/galaxy-unpacked-july-2026-a-first-look-at-galaxy-watch-ultra2-and-galaxy-watch9</t>
        </is>
      </c>
      <c r="L46" s="60" t="inlineStr">
        <is>
          <t>8956b8f95f8049ae547c684e</t>
        </is>
      </c>
      <c r="M46" s="75" t="inlineStr">
        <is>
          <t>2026-07-26T18:56:03+09:00</t>
        </is>
      </c>
      <c r="N46" s="60" t="inlineStr">
        <is>
          <t>New</t>
        </is>
      </c>
      <c r="O46" s="60" t="inlineStr"/>
    </row>
    <row r="47" ht="42" customHeight="1">
      <c r="A47" s="75" t="inlineStr">
        <is>
          <t>2026-07-26T18:56:03+09:00</t>
        </is>
      </c>
      <c r="B47" s="75" t="inlineStr">
        <is>
          <t>2026-07-22T22:02:00Z</t>
        </is>
      </c>
      <c r="C47" s="60" t="inlineStr">
        <is>
          <t>Asia</t>
        </is>
      </c>
      <c r="D47" s="60" t="inlineStr">
        <is>
          <t>South Korea</t>
        </is>
      </c>
      <c r="E47" s="60" t="inlineStr">
        <is>
          <t>Semiconductors &amp; Telecom</t>
        </is>
      </c>
      <c r="F47" s="76" t="n">
        <v>0</v>
      </c>
      <c r="G47" s="60" t="inlineStr">
        <is>
          <t>Official Company</t>
        </is>
      </c>
      <c r="H47" s="60" t="inlineStr">
        <is>
          <t>Samsung Global Newsroom</t>
        </is>
      </c>
      <c r="I47" s="60" t="inlineStr">
        <is>
          <t>サムスンGalaxy Z Fold8 Ultra、Fold8、Flip8：生活様式に合わせた折りたたみ式デバイス</t>
        </is>
      </c>
      <c r="J47" s="60" t="inlineStr">
        <is>
          <t>サムスン電子は新しいGalaxy Zシリーズを発表し、折りたたみ式デバイスをより広いオーディエンスに拡大することを目指しています。</t>
        </is>
      </c>
      <c r="K47" s="60" t="inlineStr">
        <is>
          <t>https://news.samsung.com/global/samsung-galaxy-z-fold8-ultra-fold8-and-flip8foldables-perfected-for-every-way-of-living</t>
        </is>
      </c>
      <c r="L47" s="60" t="inlineStr">
        <is>
          <t>3c09b6e86ff09a214f548cb1</t>
        </is>
      </c>
      <c r="M47" s="75" t="inlineStr">
        <is>
          <t>2026-07-26T18:56:03+09:00</t>
        </is>
      </c>
      <c r="N47" s="60" t="inlineStr">
        <is>
          <t>New</t>
        </is>
      </c>
      <c r="O47" s="60" t="inlineStr"/>
    </row>
    <row r="48" ht="42" customHeight="1">
      <c r="A48" s="75" t="inlineStr">
        <is>
          <t>2026-07-26T18:56:03+09:00</t>
        </is>
      </c>
      <c r="B48" s="75" t="inlineStr">
        <is>
          <t>2026-07-22T22:01:00Z</t>
        </is>
      </c>
      <c r="C48" s="60" t="inlineStr">
        <is>
          <t>Asia</t>
        </is>
      </c>
      <c r="D48" s="60" t="inlineStr">
        <is>
          <t>South Korea</t>
        </is>
      </c>
      <c r="E48" s="60" t="inlineStr">
        <is>
          <t>Semiconductors &amp; Telecom</t>
        </is>
      </c>
      <c r="F48" s="76" t="n">
        <v>0</v>
      </c>
      <c r="G48" s="60" t="inlineStr">
        <is>
          <t>Official Company</t>
        </is>
      </c>
      <c r="H48" s="60" t="inlineStr">
        <is>
          <t>Samsung Global Newsroom</t>
        </is>
      </c>
      <c r="I48" s="60" t="inlineStr">
        <is>
          <t>サムスンGalaxy Watch Ultra2とWatch9：健康のための腕時計</t>
        </is>
      </c>
      <c r="J48" s="60" t="inlineStr">
        <is>
          <t>サムスン電子は新しいGalaxy Watch Ultra2とGalaxy Watch9を発表し、ユーザーがこれらのデバイスを着用することで深い健康洞察を得られる新時代を迎えました。</t>
        </is>
      </c>
      <c r="K48" s="60" t="inlineStr">
        <is>
          <t>https://news.samsung.com/global/samsung-galaxy-watch-ultra2-and-watch9-your-health-companion-on-the-wrist</t>
        </is>
      </c>
      <c r="L48" s="60" t="inlineStr">
        <is>
          <t>d2071e7bcb1db74477836d6a</t>
        </is>
      </c>
      <c r="M48" s="75" t="inlineStr">
        <is>
          <t>2026-07-26T18:56:03+09:00</t>
        </is>
      </c>
      <c r="N48" s="60" t="inlineStr">
        <is>
          <t>New</t>
        </is>
      </c>
      <c r="O48" s="60" t="inlineStr"/>
    </row>
    <row r="49" ht="42" customHeight="1">
      <c r="A49" s="75" t="inlineStr">
        <is>
          <t>2026-07-26T18:56:03+09:00</t>
        </is>
      </c>
      <c r="B49" s="75" t="inlineStr">
        <is>
          <t>2026-07-22T22:00:00Z</t>
        </is>
      </c>
      <c r="C49" s="60" t="inlineStr">
        <is>
          <t>Asia</t>
        </is>
      </c>
      <c r="D49" s="60" t="inlineStr">
        <is>
          <t>South Korea</t>
        </is>
      </c>
      <c r="E49" s="60" t="inlineStr">
        <is>
          <t>Semiconductors &amp; Telecom</t>
        </is>
      </c>
      <c r="F49" s="76" t="n">
        <v>0</v>
      </c>
      <c r="G49" s="60" t="inlineStr">
        <is>
          <t>Official Company</t>
        </is>
      </c>
      <c r="H49" s="60" t="inlineStr">
        <is>
          <t>Samsung Global Newsroom</t>
        </is>
      </c>
      <c r="I49" s="60" t="inlineStr">
        <is>
          <t>サムスン、日常の眼鏡にGalaxyエコシステムを導入</t>
        </is>
      </c>
      <c r="J49" s="60" t="inlineStr">
        <is>
          <t>サムスン電子はロンドンで開催されたGalaxy Unpackedで、インテリジェントな眼鏡を発表しました。これにより、Galaxyエコシステムがモバイルフォンを超えて眼鏡に進出することを示しています。</t>
        </is>
      </c>
      <c r="K49" s="60" t="inlineStr">
        <is>
          <t>https://news.samsung.com/global/samsung-brings-galaxy-ecosystem-into-everyday-eyewear</t>
        </is>
      </c>
      <c r="L49" s="60" t="inlineStr">
        <is>
          <t>c3c9b17859519c8241a98bfb</t>
        </is>
      </c>
      <c r="M49" s="75" t="inlineStr">
        <is>
          <t>2026-07-26T18:56:03+09:00</t>
        </is>
      </c>
      <c r="N49" s="60" t="inlineStr">
        <is>
          <t>New</t>
        </is>
      </c>
      <c r="O49" s="60" t="inlineStr"/>
    </row>
    <row r="50" ht="42" customHeight="1">
      <c r="A50" s="75" t="inlineStr">
        <is>
          <t>2026-07-26T18:56:03+09:00</t>
        </is>
      </c>
      <c r="B50" s="75" t="inlineStr">
        <is>
          <t>2026-07-22T14:21:46Z</t>
        </is>
      </c>
      <c r="C50" s="60" t="inlineStr">
        <is>
          <t>EU &amp; Europe</t>
        </is>
      </c>
      <c r="D50" s="60" t="inlineStr">
        <is>
          <t>United Kingdom</t>
        </is>
      </c>
      <c r="E50" s="60" t="inlineStr">
        <is>
          <t>Innovation Policy</t>
        </is>
      </c>
      <c r="F50" s="76" t="n">
        <v>3</v>
      </c>
      <c r="G50" s="60" t="inlineStr">
        <is>
          <t>Government</t>
        </is>
      </c>
      <c r="H50" s="60" t="inlineStr">
        <is>
          <t>UK DSIT</t>
        </is>
      </c>
      <c r="I50" s="60" t="inlineStr">
        <is>
          <t>女性研究者のためのチャーターに関するガイダンス</t>
        </is>
      </c>
      <c r="J50" s="60" t="inlineStr">
        <is>
          <t>英国の研究システムにおける女性の成果を向上させるための自主的な取り組みで、研究資金提供者や研究機関に対する行動が含まれています。</t>
        </is>
      </c>
      <c r="K50" s="60" t="inlineStr">
        <is>
          <t>https://www.gov.uk/government/publications/women-in-research-charter</t>
        </is>
      </c>
      <c r="L50" s="60" t="inlineStr">
        <is>
          <t>1e9fd9033d38bacea37c0f42</t>
        </is>
      </c>
      <c r="M50" s="75" t="inlineStr">
        <is>
          <t>2026-07-26T18:56:03+09:00</t>
        </is>
      </c>
      <c r="N50" s="60" t="inlineStr">
        <is>
          <t>New</t>
        </is>
      </c>
      <c r="O50" s="60" t="inlineStr"/>
    </row>
    <row r="51" ht="42" customHeight="1">
      <c r="A51" s="75" t="inlineStr">
        <is>
          <t>2026-07-26T19:05:06+09:00</t>
        </is>
      </c>
      <c r="B51" s="75" t="inlineStr">
        <is>
          <t>2026-07-22T14:12:14Z</t>
        </is>
      </c>
      <c r="C51" s="60" t="inlineStr">
        <is>
          <t>United States</t>
        </is>
      </c>
      <c r="D51" s="60" t="inlineStr">
        <is>
          <t>United States</t>
        </is>
      </c>
      <c r="E51" s="60" t="inlineStr">
        <is>
          <t>Innovation Policy | Quantum</t>
        </is>
      </c>
      <c r="F51" s="76" t="n">
        <v>3</v>
      </c>
      <c r="G51" s="60" t="inlineStr">
        <is>
          <t>Government</t>
        </is>
      </c>
      <c r="H51" s="60" t="inlineStr">
        <is>
          <t>DOE Office of Science News</t>
        </is>
      </c>
      <c r="I51" s="60" t="inlineStr">
        <is>
          <t>エネルギー長官クリス・ライトがAI駆動の科学発見を加速するプロジェクトを発表</t>
        </is>
      </c>
      <c r="J51" s="60" t="inlineStr">
        <is>
          <t>全米50州からの歴史的なRFA応答から選ばれた約300のプロジェクトが、エネルギー、発見科学、国家安全保障におけるブレークスルーを加速することを目的としています。</t>
        </is>
      </c>
      <c r="K51" s="60" t="inlineStr">
        <is>
          <t>https://www.energy.gov/articles/secretary-energy-chris-wright-announces-first-genesis-mission-projects-selected-accelerate</t>
        </is>
      </c>
      <c r="L51" s="60" t="inlineStr">
        <is>
          <t>23fa1d6907c14d73ce3a41cd</t>
        </is>
      </c>
      <c r="M51" s="75" t="inlineStr">
        <is>
          <t>2026-07-26T19:05:06+09:00</t>
        </is>
      </c>
      <c r="N51" s="60" t="inlineStr">
        <is>
          <t>New</t>
        </is>
      </c>
      <c r="O51" s="60" t="inlineStr"/>
    </row>
    <row r="52" ht="42" customHeight="1">
      <c r="A52" s="75" t="inlineStr">
        <is>
          <t>2026-07-26T18:56:03+09:00</t>
        </is>
      </c>
      <c r="B52" s="75" t="inlineStr">
        <is>
          <t>2026-07-22T14:12:00Z</t>
        </is>
      </c>
      <c r="C52" s="60" t="inlineStr">
        <is>
          <t>United States</t>
        </is>
      </c>
      <c r="D52" s="60" t="inlineStr">
        <is>
          <t>United States</t>
        </is>
      </c>
      <c r="E52" s="60" t="inlineStr">
        <is>
          <t>Innovation Policy | Artificial Intelligence</t>
        </is>
      </c>
      <c r="F52" s="76" t="n">
        <v>3</v>
      </c>
      <c r="G52" s="60" t="inlineStr">
        <is>
          <t>Policy Institute</t>
        </is>
      </c>
      <c r="H52" s="60" t="inlineStr">
        <is>
          <t>CSET</t>
        </is>
      </c>
      <c r="I52" s="60" t="inlineStr">
        <is>
          <t>人工知能と核戦争に関するグローバルノーベル賞受賞者会議での発言</t>
        </is>
      </c>
      <c r="J52" s="60" t="inlineStr">
        <is>
          <t>CSETのシニアフェロー、エメリア・プロバスコがバチカンで開催された人工知能と核戦争に関するグローバルノーベル賞受賞者会議での経験と発言を共有しました。</t>
        </is>
      </c>
      <c r="K52" s="60" t="inlineStr">
        <is>
          <t>https://cset.georgetown.edu/article/remarks-at-the-global-nobel-laureates-assembly-on-artificial-intelligence-and-nuclear-war/</t>
        </is>
      </c>
      <c r="L52" s="60" t="inlineStr">
        <is>
          <t>863086979e9f7f63c082cb57</t>
        </is>
      </c>
      <c r="M52" s="75" t="inlineStr">
        <is>
          <t>2026-07-26T18:56:03+09:00</t>
        </is>
      </c>
      <c r="N52" s="60" t="inlineStr">
        <is>
          <t>New</t>
        </is>
      </c>
      <c r="O52" s="60" t="inlineStr"/>
    </row>
    <row r="53" ht="42" customHeight="1">
      <c r="A53" s="75" t="inlineStr">
        <is>
          <t>2026-07-26T18:56:03+09:00</t>
        </is>
      </c>
      <c r="B53" s="75" t="inlineStr">
        <is>
          <t>2026-07-22T13:58:00Z</t>
        </is>
      </c>
      <c r="C53" s="60" t="inlineStr">
        <is>
          <t>EU &amp; Europe</t>
        </is>
      </c>
      <c r="D53" s="60" t="inlineStr">
        <is>
          <t>United Kingdom</t>
        </is>
      </c>
      <c r="E53" s="60" t="inlineStr">
        <is>
          <t>Innovation Policy</t>
        </is>
      </c>
      <c r="F53" s="76" t="n">
        <v>3</v>
      </c>
      <c r="G53" s="60" t="inlineStr">
        <is>
          <t>Government</t>
        </is>
      </c>
      <c r="H53" s="60" t="inlineStr">
        <is>
          <t>UK DSIT</t>
        </is>
      </c>
      <c r="I53" s="60" t="inlineStr">
        <is>
          <t>AIツール「Consult」の利用登録案内</t>
        </is>
      </c>
      <c r="J53" s="60" t="inlineStr">
        <is>
          <t>政府チームが公的相談の回答を分析するためのAIツール「Consult」の利用に関心がある方は、待機リストに登録してください。</t>
        </is>
      </c>
      <c r="K53" s="60" t="inlineStr">
        <is>
          <t>https://www.gov.uk/government/publications/consult-register-your-interest</t>
        </is>
      </c>
      <c r="L53" s="60" t="inlineStr">
        <is>
          <t>a651f42eb5805e39f03fbebe</t>
        </is>
      </c>
      <c r="M53" s="75" t="inlineStr">
        <is>
          <t>2026-07-26T18:56:03+09:00</t>
        </is>
      </c>
      <c r="N53" s="60" t="inlineStr">
        <is>
          <t>New</t>
        </is>
      </c>
      <c r="O53" s="60" t="inlineStr"/>
    </row>
    <row r="54" ht="42" customHeight="1">
      <c r="A54" s="75" t="inlineStr">
        <is>
          <t>2026-07-26T19:05:06+09:00</t>
        </is>
      </c>
      <c r="B54" s="75" t="inlineStr">
        <is>
          <t>2026-07-22T13:53:19Z</t>
        </is>
      </c>
      <c r="C54" s="60" t="inlineStr">
        <is>
          <t>United States</t>
        </is>
      </c>
      <c r="D54" s="60" t="inlineStr">
        <is>
          <t>United States</t>
        </is>
      </c>
      <c r="E54" s="60" t="inlineStr">
        <is>
          <t>Innovation Policy | Artificial Intelligence</t>
        </is>
      </c>
      <c r="F54" s="76" t="n">
        <v>5</v>
      </c>
      <c r="G54" s="60" t="inlineStr">
        <is>
          <t>Government</t>
        </is>
      </c>
      <c r="H54" s="60" t="inlineStr">
        <is>
          <t>National Science Foundation News</t>
        </is>
      </c>
      <c r="I54" s="60" t="inlineStr">
        <is>
          <t>NSF長官代行ブライアン・ストーンのAI優先事項推進に関する声明</t>
        </is>
      </c>
      <c r="J54" s="60" t="inlineStr">
        <is>
          <t>米国科学財団（NSF）は、ホワイトハウス科学技術政策局やエネルギー省などと連携し、行政の人工知能（AI）優先事項を推進することを誇りに思っています。</t>
        </is>
      </c>
      <c r="K54" s="60" t="inlineStr">
        <is>
          <t>https://www.nsf.gov/news/statement-nsf-chief-staff-brian-stone-performing-duties-nsf-1</t>
        </is>
      </c>
      <c r="L54" s="60" t="inlineStr">
        <is>
          <t>123e2207578ca69c8f9c00a2</t>
        </is>
      </c>
      <c r="M54" s="75" t="inlineStr">
        <is>
          <t>2026-07-26T19:05:06+09:00</t>
        </is>
      </c>
      <c r="N54" s="60" t="inlineStr">
        <is>
          <t>New</t>
        </is>
      </c>
      <c r="O54" s="60" t="inlineStr"/>
    </row>
    <row r="55" ht="42" customHeight="1">
      <c r="A55" s="75" t="inlineStr">
        <is>
          <t>2026-07-26T19:05:06+09:00</t>
        </is>
      </c>
      <c r="B55" s="75" t="inlineStr">
        <is>
          <t>2026-07-22T13:53:12Z</t>
        </is>
      </c>
      <c r="C55" s="60" t="inlineStr">
        <is>
          <t>United States</t>
        </is>
      </c>
      <c r="D55" s="60" t="inlineStr">
        <is>
          <t>United States</t>
        </is>
      </c>
      <c r="E55" s="60" t="inlineStr">
        <is>
          <t>Innovation Policy | Artificial Intelligence</t>
        </is>
      </c>
      <c r="F55" s="76" t="n">
        <v>4</v>
      </c>
      <c r="G55" s="60" t="inlineStr">
        <is>
          <t>Government</t>
        </is>
      </c>
      <c r="H55" s="60" t="inlineStr">
        <is>
          <t>National Science Foundation News</t>
        </is>
      </c>
      <c r="I55" s="60" t="inlineStr">
        <is>
          <t>新しいNSFイニシアティブがAIを活用した科学的発見のためのデータセットの価値を解放</t>
        </is>
      </c>
      <c r="J55" s="60" t="inlineStr">
        <is>
          <t>米国国立科学財団は、AIを活用した科学的発見を促進するための新しい投資を発表しました。</t>
        </is>
      </c>
      <c r="K55" s="60" t="inlineStr">
        <is>
          <t>https://www.nsf.gov/news/new-nsf-initiative-aims-unlock-dataset-value-ai-enabled</t>
        </is>
      </c>
      <c r="L55" s="60" t="inlineStr">
        <is>
          <t>dcd819527d9b80141b26bcb8</t>
        </is>
      </c>
      <c r="M55" s="75" t="inlineStr">
        <is>
          <t>2026-07-26T19:05:06+09:00</t>
        </is>
      </c>
      <c r="N55" s="60" t="inlineStr">
        <is>
          <t>New</t>
        </is>
      </c>
      <c r="O55" s="60" t="inlineStr"/>
    </row>
    <row r="56" ht="42" customHeight="1">
      <c r="A56" s="75" t="inlineStr">
        <is>
          <t>2026-07-26T19:05:06+09:00</t>
        </is>
      </c>
      <c r="B56" s="75" t="inlineStr">
        <is>
          <t>2026-07-22T13:53:06Z</t>
        </is>
      </c>
      <c r="C56" s="60" t="inlineStr">
        <is>
          <t>United States</t>
        </is>
      </c>
      <c r="D56" s="60" t="inlineStr">
        <is>
          <t>United States</t>
        </is>
      </c>
      <c r="E56" s="60" t="inlineStr">
        <is>
          <t>Innovation Policy</t>
        </is>
      </c>
      <c r="F56" s="76" t="n">
        <v>3</v>
      </c>
      <c r="G56" s="60" t="inlineStr">
        <is>
          <t>Government</t>
        </is>
      </c>
      <c r="H56" s="60" t="inlineStr">
        <is>
          <t>National Science Foundation News</t>
        </is>
      </c>
      <c r="I56" s="60" t="inlineStr">
        <is>
          <t>NSFがAI駆動の科学を進展させるために8300万ドルの投資を発表</t>
        </is>
      </c>
      <c r="J56" s="60" t="inlineStr">
        <is>
          <t>米国国立科学財団は、統合データシステムおよびサービスプログラムを通じて8300万ドルの助成金を発表し、研究者がデータインフラを活用できるようにします。</t>
        </is>
      </c>
      <c r="K56" s="60" t="inlineStr">
        <is>
          <t>https://www.nsf.gov/news/nsf-announces-83m-investment-integrated-data-systems</t>
        </is>
      </c>
      <c r="L56" s="60" t="inlineStr">
        <is>
          <t>018d40b7e6eb7aa4b8cfb5fa</t>
        </is>
      </c>
      <c r="M56" s="75" t="inlineStr">
        <is>
          <t>2026-07-26T19:05:06+09:00</t>
        </is>
      </c>
      <c r="N56" s="60" t="inlineStr">
        <is>
          <t>New</t>
        </is>
      </c>
      <c r="O56" s="60" t="inlineStr"/>
    </row>
    <row r="57" ht="42" customHeight="1">
      <c r="A57" s="75" t="inlineStr">
        <is>
          <t>2026-07-26T18:56:03+09:00</t>
        </is>
      </c>
      <c r="B57" s="75" t="inlineStr">
        <is>
          <t>2026-07-22T13:00:11Z</t>
        </is>
      </c>
      <c r="C57" s="60" t="inlineStr">
        <is>
          <t>Global</t>
        </is>
      </c>
      <c r="D57" s="60" t="inlineStr">
        <is>
          <t>United States</t>
        </is>
      </c>
      <c r="E57" s="60" t="inlineStr">
        <is>
          <t>Robotics | Healthcare | Semiconductors &amp; Telecom</t>
        </is>
      </c>
      <c r="F57" s="76" t="n">
        <v>0</v>
      </c>
      <c r="G57" s="60" t="inlineStr">
        <is>
          <t>Official Company</t>
        </is>
      </c>
      <c r="H57" s="60" t="inlineStr">
        <is>
          <t>NVIDIA Blog</t>
        </is>
      </c>
      <c r="I57" s="60" t="inlineStr">
        <is>
          <t>NVIDIAが初のGPU加速医療物理シミュレーションフレームワークをオープンソース化</t>
        </is>
      </c>
      <c r="J57" s="60" t="inlineStr">
        <is>
          <t>NVIDIAは、医療ロボットが現実世界で有用になるために必要な物理的な反発を学ぶためのシミュレーションフレームワークを公開しました。</t>
        </is>
      </c>
      <c r="K57" s="60" t="inlineStr">
        <is>
          <t>https://blogs.nvidia.com/blog/medical-physics-simulation-open-source/</t>
        </is>
      </c>
      <c r="L57" s="60" t="inlineStr">
        <is>
          <t>3c1ee99eb36c61c92c0f7bb6</t>
        </is>
      </c>
      <c r="M57" s="75" t="inlineStr">
        <is>
          <t>2026-07-26T18:56:03+09:00</t>
        </is>
      </c>
      <c r="N57" s="60" t="inlineStr">
        <is>
          <t>New</t>
        </is>
      </c>
      <c r="O57" s="60" t="inlineStr"/>
    </row>
    <row r="58" ht="42" customHeight="1">
      <c r="A58" s="75" t="inlineStr">
        <is>
          <t>2026-07-26T18:56:03+09:00</t>
        </is>
      </c>
      <c r="B58" s="75" t="inlineStr">
        <is>
          <t>2026-07-22T13:00:00Z</t>
        </is>
      </c>
      <c r="C58" s="60" t="inlineStr">
        <is>
          <t>Global</t>
        </is>
      </c>
      <c r="D58" s="60" t="inlineStr">
        <is>
          <t>United States</t>
        </is>
      </c>
      <c r="E58" s="60" t="inlineStr">
        <is>
          <t>Artificial Intelligence</t>
        </is>
      </c>
      <c r="F58" s="76" t="n">
        <v>1</v>
      </c>
      <c r="G58" s="60" t="inlineStr">
        <is>
          <t>Official Company</t>
        </is>
      </c>
      <c r="H58" s="60" t="inlineStr">
        <is>
          <t>OpenAI News</t>
        </is>
      </c>
      <c r="I58" s="60" t="inlineStr">
        <is>
          <t>エフィンガム郡コミュニティとのAIインフラ構築</t>
        </is>
      </c>
      <c r="J58" s="60" t="inlineStr">
        <is>
          <t>OpenAIはジョージア州エフィンガム郡でプロジェクト・カメリアを発表し、責任あるエネルギー、地域投資、雇用、Codexへのアクセスを約束しました。</t>
        </is>
      </c>
      <c r="K58" s="60" t="inlineStr">
        <is>
          <t>https://openai.com/index/building-ai-infrastructure-with-the-effingham-county-community</t>
        </is>
      </c>
      <c r="L58" s="60" t="inlineStr">
        <is>
          <t>082c4173c70b04519142ea2a</t>
        </is>
      </c>
      <c r="M58" s="75" t="inlineStr">
        <is>
          <t>2026-07-26T18:56:03+09:00</t>
        </is>
      </c>
      <c r="N58" s="60" t="inlineStr">
        <is>
          <t>New</t>
        </is>
      </c>
      <c r="O58" s="60" t="inlineStr"/>
    </row>
    <row r="59" ht="42" customHeight="1">
      <c r="A59" s="75" t="inlineStr">
        <is>
          <t>2026-07-26T18:56:03+09:00</t>
        </is>
      </c>
      <c r="B59" s="75" t="inlineStr">
        <is>
          <t>2026-07-22T13:00:00Z</t>
        </is>
      </c>
      <c r="C59" s="60" t="inlineStr">
        <is>
          <t>Global</t>
        </is>
      </c>
      <c r="D59" s="60" t="inlineStr">
        <is>
          <t>United States</t>
        </is>
      </c>
      <c r="E59" s="60" t="inlineStr">
        <is>
          <t>Artificial Intelligence</t>
        </is>
      </c>
      <c r="F59" s="76" t="n">
        <v>1</v>
      </c>
      <c r="G59" s="60" t="inlineStr">
        <is>
          <t>Official Company</t>
        </is>
      </c>
      <c r="H59" s="60" t="inlineStr">
        <is>
          <t>OpenAI News</t>
        </is>
      </c>
      <c r="I59" s="60" t="inlineStr">
        <is>
          <t>ニュース組織がAIを活用して重要な使命を推進</t>
        </is>
      </c>
      <c r="J59" s="60" t="inlineStr">
        <is>
          <t>ニュース組織はAIを利用して報道を強化し、オーディエンスを拡大し、ビジネス運営を改善しています。</t>
        </is>
      </c>
      <c r="K59" s="60" t="inlineStr">
        <is>
          <t>https://openai.com/index/how-news-organizations-are-using-ai</t>
        </is>
      </c>
      <c r="L59" s="60" t="inlineStr">
        <is>
          <t>932591afba7f1cf55372f3f4</t>
        </is>
      </c>
      <c r="M59" s="75" t="inlineStr">
        <is>
          <t>2026-07-26T18:56:03+09:00</t>
        </is>
      </c>
      <c r="N59" s="60" t="inlineStr">
        <is>
          <t>New</t>
        </is>
      </c>
      <c r="O59" s="60" t="inlineStr"/>
    </row>
    <row r="60" ht="42" customHeight="1">
      <c r="A60" s="75" t="inlineStr">
        <is>
          <t>2026-07-26T18:56:03+09:00</t>
        </is>
      </c>
      <c r="B60" s="75" t="inlineStr">
        <is>
          <t>2026-07-22T13:00:00Z</t>
        </is>
      </c>
      <c r="C60" s="60" t="inlineStr">
        <is>
          <t>Global</t>
        </is>
      </c>
      <c r="D60" s="60" t="inlineStr">
        <is>
          <t>United States</t>
        </is>
      </c>
      <c r="E60" s="60" t="inlineStr">
        <is>
          <t>Artificial Intelligence</t>
        </is>
      </c>
      <c r="F60" s="76" t="n">
        <v>0</v>
      </c>
      <c r="G60" s="60" t="inlineStr">
        <is>
          <t>Official Company</t>
        </is>
      </c>
      <c r="H60" s="60" t="inlineStr">
        <is>
          <t>Google AI</t>
        </is>
      </c>
      <c r="I60" s="60" t="inlineStr">
        <is>
          <t>Galaxy Unpacked 2026からの3つのGoogleのアップデート</t>
        </is>
      </c>
      <c r="J60" s="60" t="inlineStr">
        <is>
          <t>Gentle Monsterの眼鏡やWarby Parkerの眼鏡など、Galaxy Unpacked 2026での新しいプロンプトが紹介されました。</t>
        </is>
      </c>
      <c r="K60" s="60" t="inlineStr">
        <is>
          <t>https://blog.google/products-and-platforms/platforms/android/galaxy-unpacked-2026/</t>
        </is>
      </c>
      <c r="L60" s="60" t="inlineStr">
        <is>
          <t>7c49a9cf52e16d8bc5c300b8</t>
        </is>
      </c>
      <c r="M60" s="75" t="inlineStr">
        <is>
          <t>2026-07-26T18:56:03+09:00</t>
        </is>
      </c>
      <c r="N60" s="60" t="inlineStr">
        <is>
          <t>New</t>
        </is>
      </c>
      <c r="O60" s="60" t="inlineStr"/>
    </row>
    <row r="61" ht="42" customHeight="1">
      <c r="A61" s="75" t="inlineStr">
        <is>
          <t>2026-07-26T18:56:03+09:00</t>
        </is>
      </c>
      <c r="B61" s="75" t="inlineStr">
        <is>
          <t>2026-07-22T12:10:00Z</t>
        </is>
      </c>
      <c r="C61" s="60" t="inlineStr">
        <is>
          <t>Global</t>
        </is>
      </c>
      <c r="D61" s="60" t="inlineStr">
        <is>
          <t>United States</t>
        </is>
      </c>
      <c r="E61" s="60" t="inlineStr">
        <is>
          <t>Fusion Energy</t>
        </is>
      </c>
      <c r="F61" s="76" t="n">
        <v>0</v>
      </c>
      <c r="G61" s="60" t="inlineStr">
        <is>
          <t>Major Media</t>
        </is>
      </c>
      <c r="H61" s="60" t="inlineStr">
        <is>
          <t>MIT Technology Review</t>
        </is>
      </c>
      <c r="I61" s="60" t="inlineStr">
        <is>
          <t>ダウンロード：NASAの新しい宇宙望遠鏡とOpenAIの自律ハッカー</t>
        </is>
      </c>
      <c r="J61" s="60" t="inlineStr">
        <is>
          <t>本日は、NASAの新しい宇宙望遠鏡に関する情報を含む技術ニュースレターをお届けします。</t>
        </is>
      </c>
      <c r="K61" s="60" t="inlineStr">
        <is>
          <t>https://www.technologyreview.com/2026/07/22/1140717/the-download-nasa-space-telescope-openai-hugging-face-hack/</t>
        </is>
      </c>
      <c r="L61" s="60" t="inlineStr">
        <is>
          <t>62c5c294dc0cb2f834763aa6</t>
        </is>
      </c>
      <c r="M61" s="75" t="inlineStr">
        <is>
          <t>2026-07-26T18:56:03+09:00</t>
        </is>
      </c>
      <c r="N61" s="60" t="inlineStr">
        <is>
          <t>New</t>
        </is>
      </c>
      <c r="O61" s="60" t="inlineStr"/>
    </row>
    <row r="62" ht="42" customHeight="1">
      <c r="A62" s="75" t="inlineStr">
        <is>
          <t>2026-07-26T18:56:03+09:00</t>
        </is>
      </c>
      <c r="B62" s="75" t="inlineStr">
        <is>
          <t>2026-07-22T12:00:00Z</t>
        </is>
      </c>
      <c r="C62" s="60" t="inlineStr">
        <is>
          <t>United States</t>
        </is>
      </c>
      <c r="D62" s="60" t="inlineStr">
        <is>
          <t>United States</t>
        </is>
      </c>
      <c r="E62" s="60" t="inlineStr">
        <is>
          <t>Innovation Policy</t>
        </is>
      </c>
      <c r="F62" s="76" t="n">
        <v>5</v>
      </c>
      <c r="G62" s="60" t="inlineStr">
        <is>
          <t>Government</t>
        </is>
      </c>
      <c r="H62" s="60" t="inlineStr">
        <is>
          <t>NIST News</t>
        </is>
      </c>
      <c r="I62" s="60" t="inlineStr">
        <is>
          <t>NISTが中小企業向けの資金提供機会を発表</t>
        </is>
      </c>
      <c r="J62" s="60" t="inlineStr">
        <is>
          <t>NIST MEPは、2026年7月28日火曜日に中小企業向けの資金提供機会に関する情報ウェビナーを開催し、申請準備に関するガイダンスを提供します。</t>
        </is>
      </c>
      <c r="K62" s="60" t="inlineStr">
        <is>
          <t>https://www.nist.gov/news-events/news/2026/07/nist-announces-funding-opportunity-14-mep-centers-advance-small-and-medium</t>
        </is>
      </c>
      <c r="L62" s="60" t="inlineStr">
        <is>
          <t>5aa9c93bc7040291c9f08bfa</t>
        </is>
      </c>
      <c r="M62" s="75" t="inlineStr">
        <is>
          <t>2026-07-26T18:56:03+09:00</t>
        </is>
      </c>
      <c r="N62" s="60" t="inlineStr">
        <is>
          <t>New</t>
        </is>
      </c>
      <c r="O62" s="60" t="inlineStr"/>
    </row>
    <row r="63" ht="42" customHeight="1">
      <c r="A63" s="75" t="inlineStr">
        <is>
          <t>2026-07-26T18:56:03+09:00</t>
        </is>
      </c>
      <c r="B63" s="75" t="inlineStr">
        <is>
          <t>2026-07-22T12:00:00Z</t>
        </is>
      </c>
      <c r="C63" s="60" t="inlineStr">
        <is>
          <t>United States</t>
        </is>
      </c>
      <c r="D63" s="60" t="inlineStr">
        <is>
          <t>United States</t>
        </is>
      </c>
      <c r="E63" s="60" t="inlineStr">
        <is>
          <t>Artificial Intelligence</t>
        </is>
      </c>
      <c r="F63" s="76" t="n">
        <v>2</v>
      </c>
      <c r="G63" s="60" t="inlineStr">
        <is>
          <t>Official Company</t>
        </is>
      </c>
      <c r="H63" s="60" t="inlineStr">
        <is>
          <t>OpenAI News</t>
        </is>
      </c>
      <c r="I63" s="60" t="inlineStr">
        <is>
          <t>次世代の国家科学を推進する</t>
        </is>
      </c>
      <c r="J63" s="60" t="inlineStr">
        <is>
          <t>OpenAIは、米国エネルギー省および国立研究所と連携し、最前線のAIを活用して科学の発見を加速する取り組みを発表しました。</t>
        </is>
      </c>
      <c r="K63" s="60" t="inlineStr">
        <is>
          <t>https://openai.com/index/advancing-the-next-era-of-national-science</t>
        </is>
      </c>
      <c r="L63" s="60" t="inlineStr">
        <is>
          <t>577ddf6b90e6d70b43383fc6</t>
        </is>
      </c>
      <c r="M63" s="75" t="inlineStr">
        <is>
          <t>2026-07-26T18:56:03+09:00</t>
        </is>
      </c>
      <c r="N63" s="60" t="inlineStr">
        <is>
          <t>New</t>
        </is>
      </c>
      <c r="O63" s="60" t="inlineStr"/>
    </row>
    <row r="64" ht="42" customHeight="1">
      <c r="A64" s="75" t="inlineStr">
        <is>
          <t>2026-07-26T18:56:03+09:00</t>
        </is>
      </c>
      <c r="B64" s="75" t="inlineStr">
        <is>
          <t>2026-07-22T09:00:00Z</t>
        </is>
      </c>
      <c r="C64" s="60" t="inlineStr">
        <is>
          <t>Global</t>
        </is>
      </c>
      <c r="D64" s="60" t="inlineStr">
        <is>
          <t>United States</t>
        </is>
      </c>
      <c r="E64" s="60" t="inlineStr">
        <is>
          <t>Fusion Energy</t>
        </is>
      </c>
      <c r="F64" s="76" t="n">
        <v>0</v>
      </c>
      <c r="G64" s="60" t="inlineStr">
        <is>
          <t>Major Media</t>
        </is>
      </c>
      <c r="H64" s="60" t="inlineStr">
        <is>
          <t>MIT Technology Review</t>
        </is>
      </c>
      <c r="I64" s="60" t="inlineStr">
        <is>
          <t>NASAの新しい宇宙望遠鏡が変形ミラーを搭載、私たちのような木星を発見する可能性</t>
        </is>
      </c>
      <c r="J64" s="60" t="inlineStr">
        <is>
          <t>NASAのナンシー・グレース・ローマン宇宙望遠鏡が来月末にも打ち上げられる予定で、星の光を効果的に消す「アクティブコロナグラフ」を搭載し、天文学の新たな発見を目指します。</t>
        </is>
      </c>
      <c r="K64" s="60" t="inlineStr">
        <is>
          <t>https://www.technologyreview.com/2026/07/22/1140701/shape-shifting-mirrors-roman-space-telescope/</t>
        </is>
      </c>
      <c r="L64" s="60" t="inlineStr">
        <is>
          <t>04231693b363104315116185</t>
        </is>
      </c>
      <c r="M64" s="75" t="inlineStr">
        <is>
          <t>2026-07-26T18:56:03+09:00</t>
        </is>
      </c>
      <c r="N64" s="60" t="inlineStr">
        <is>
          <t>New</t>
        </is>
      </c>
      <c r="O64" s="60" t="inlineStr"/>
    </row>
    <row r="65" ht="42" customHeight="1">
      <c r="A65" s="75" t="inlineStr">
        <is>
          <t>2026-07-26T18:56:03+09:00</t>
        </is>
      </c>
      <c r="B65" s="75" t="inlineStr">
        <is>
          <t>2026-07-22T05:30:00Z</t>
        </is>
      </c>
      <c r="C65" s="60" t="inlineStr">
        <is>
          <t>Global</t>
        </is>
      </c>
      <c r="D65" s="60" t="inlineStr">
        <is>
          <t>United States</t>
        </is>
      </c>
      <c r="E65" s="60" t="inlineStr">
        <is>
          <t>Artificial Intelligence</t>
        </is>
      </c>
      <c r="F65" s="76" t="n">
        <v>1</v>
      </c>
      <c r="G65" s="60" t="inlineStr">
        <is>
          <t>Official Company</t>
        </is>
      </c>
      <c r="H65" s="60" t="inlineStr">
        <is>
          <t>OpenAI News</t>
        </is>
      </c>
      <c r="I65" s="60" t="inlineStr">
        <is>
          <t>OpenAI Presenceの導入</t>
        </is>
      </c>
      <c r="J65" s="60" t="inlineStr">
        <is>
          <t>OpenAI Presenceが、企業が信頼できる音声およびチャットエージェントを展開するためのプラットフォームを提供します。</t>
        </is>
      </c>
      <c r="K65" s="60" t="inlineStr">
        <is>
          <t>https://openai.com/index/introducing-openai-presence</t>
        </is>
      </c>
      <c r="L65" s="60" t="inlineStr">
        <is>
          <t>839f7a51d7b587ae6fb6fad7</t>
        </is>
      </c>
      <c r="M65" s="75" t="inlineStr">
        <is>
          <t>2026-07-26T18:56:03+09:00</t>
        </is>
      </c>
      <c r="N65" s="60" t="inlineStr">
        <is>
          <t>New</t>
        </is>
      </c>
      <c r="O65" s="60" t="inlineStr"/>
    </row>
    <row r="66" ht="42" customHeight="1">
      <c r="A66" s="75" t="inlineStr">
        <is>
          <t>2026-07-26T18:56:03+09:00</t>
        </is>
      </c>
      <c r="B66" s="75" t="inlineStr">
        <is>
          <t>2026-07-22T00:00:00Z</t>
        </is>
      </c>
      <c r="C66" s="60" t="inlineStr">
        <is>
          <t>Global</t>
        </is>
      </c>
      <c r="D66" s="60" t="inlineStr">
        <is>
          <t>United States</t>
        </is>
      </c>
      <c r="E66" s="60" t="inlineStr">
        <is>
          <t>Artificial Intelligence</t>
        </is>
      </c>
      <c r="F66" s="76" t="n">
        <v>1</v>
      </c>
      <c r="G66" s="60" t="inlineStr">
        <is>
          <t>Official Company</t>
        </is>
      </c>
      <c r="H66" s="60" t="inlineStr">
        <is>
          <t>OpenAI News</t>
        </is>
      </c>
      <c r="I66" s="60" t="inlineStr">
        <is>
          <t>NTT DATAグループ、Codexを活用してインシデント分析を30分に短縮</t>
        </is>
      </c>
      <c r="J66" s="60" t="inlineStr">
        <is>
          <t>NTT DATAグループがChatGPT EnterpriseとCodexを活用し、9,000人の従業員が業務を自動化し、インシデント分析を30分に短縮することに成功しました。</t>
        </is>
      </c>
      <c r="K66" s="60" t="inlineStr">
        <is>
          <t>https://openai.com/index/ntt-data</t>
        </is>
      </c>
      <c r="L66" s="60" t="inlineStr">
        <is>
          <t>389ebd02d2834f48054db326</t>
        </is>
      </c>
      <c r="M66" s="75" t="inlineStr">
        <is>
          <t>2026-07-26T18:56:03+09:00</t>
        </is>
      </c>
      <c r="N66" s="60" t="inlineStr">
        <is>
          <t>New</t>
        </is>
      </c>
      <c r="O66" s="60" t="inlineStr"/>
    </row>
    <row r="67" ht="42" customHeight="1">
      <c r="A67" s="75" t="inlineStr">
        <is>
          <t>2026-07-26T18:56:03+09:00</t>
        </is>
      </c>
      <c r="B67" s="75" t="inlineStr">
        <is>
          <t>2026-07-22T00:00:00Z</t>
        </is>
      </c>
      <c r="C67" s="60" t="inlineStr">
        <is>
          <t>Global</t>
        </is>
      </c>
      <c r="D67" s="60" t="inlineStr">
        <is>
          <t>Global</t>
        </is>
      </c>
      <c r="E67" s="60" t="inlineStr">
        <is>
          <t>Innovation Policy | Biotechnology</t>
        </is>
      </c>
      <c r="F67" s="76" t="n">
        <v>1</v>
      </c>
      <c r="G67" s="60" t="inlineStr">
        <is>
          <t>Scientific Publication</t>
        </is>
      </c>
      <c r="H67" s="60" t="inlineStr">
        <is>
          <t>Nature</t>
        </is>
      </c>
      <c r="I67" s="60" t="inlineStr">
        <is>
          <t>サブ核ゲノム区画化が二価クロマチン活性を制御</t>
        </is>
      </c>
      <c r="J67" s="60" t="inlineStr">
        <is>
          <t>遺伝子の空間的な位置を理解することが、エピゲノム調節を理解するために必要であることが示されています。</t>
        </is>
      </c>
      <c r="K67" s="60" t="inlineStr">
        <is>
          <t>https://www.nature.com/articles/s41586-026-10832-w</t>
        </is>
      </c>
      <c r="L67" s="60" t="inlineStr">
        <is>
          <t>f9bccca3cabb5ce19441f09d</t>
        </is>
      </c>
      <c r="M67" s="75" t="inlineStr">
        <is>
          <t>2026-07-26T18:56:03+09:00</t>
        </is>
      </c>
      <c r="N67" s="60" t="inlineStr">
        <is>
          <t>New</t>
        </is>
      </c>
      <c r="O67" s="60" t="inlineStr"/>
    </row>
    <row r="68" ht="42" customHeight="1">
      <c r="A68" s="75" t="inlineStr">
        <is>
          <t>2026-07-26T18:56:03+09:00</t>
        </is>
      </c>
      <c r="B68" s="75" t="inlineStr">
        <is>
          <t>2026-07-22T00:00:00Z</t>
        </is>
      </c>
      <c r="C68" s="60" t="inlineStr">
        <is>
          <t>Global</t>
        </is>
      </c>
      <c r="D68" s="60" t="inlineStr">
        <is>
          <t>Global</t>
        </is>
      </c>
      <c r="E68" s="60" t="inlineStr">
        <is>
          <t>Fusion Energy</t>
        </is>
      </c>
      <c r="F68" s="76" t="n">
        <v>0</v>
      </c>
      <c r="G68" s="60" t="inlineStr">
        <is>
          <t>Scientific Publication</t>
        </is>
      </c>
      <c r="H68" s="60" t="inlineStr">
        <is>
          <t>Nature</t>
        </is>
      </c>
      <c r="I68" s="60" t="inlineStr">
        <is>
          <t>巨大な‘エクソ衛星’が月の定義を巡る議論を引き起こす</t>
        </is>
      </c>
      <c r="J68" s="60" t="inlineStr">
        <is>
          <t>遠方の木星質量の天体の発見がエクソ月の検出への道を開く可能性があり、また、ナマズに見られる珍しい伝染性癌についても言及されています。</t>
        </is>
      </c>
      <c r="K68" s="60" t="inlineStr">
        <is>
          <t>https://www.nature.com/articles/d41586-026-02299-6</t>
        </is>
      </c>
      <c r="L68" s="60" t="inlineStr">
        <is>
          <t>a3eb7f1e33aee131ed0b4bf7</t>
        </is>
      </c>
      <c r="M68" s="75" t="inlineStr">
        <is>
          <t>2026-07-26T18:56:03+09:00</t>
        </is>
      </c>
      <c r="N68" s="60" t="inlineStr">
        <is>
          <t>New</t>
        </is>
      </c>
      <c r="O68" s="60" t="inlineStr"/>
    </row>
    <row r="69" ht="42" customHeight="1">
      <c r="A69" s="75" t="inlineStr">
        <is>
          <t>2026-07-26T18:56:03+09:00</t>
        </is>
      </c>
      <c r="B69" s="75" t="inlineStr">
        <is>
          <t>2026-07-22T00:00:00Z</t>
        </is>
      </c>
      <c r="C69" s="60" t="inlineStr">
        <is>
          <t>Global</t>
        </is>
      </c>
      <c r="D69" s="60" t="inlineStr">
        <is>
          <t>Global</t>
        </is>
      </c>
      <c r="E69" s="60" t="inlineStr">
        <is>
          <t>Quantum</t>
        </is>
      </c>
      <c r="F69" s="76" t="n">
        <v>0</v>
      </c>
      <c r="G69" s="60" t="inlineStr">
        <is>
          <t>Scientific Publication</t>
        </is>
      </c>
      <c r="H69" s="60" t="inlineStr">
        <is>
          <t>Nature</t>
        </is>
      </c>
      <c r="I69" s="60" t="inlineStr">
        <is>
          <t>量子コンピュータの仕組み</t>
        </is>
      </c>
      <c r="J69" s="60" t="inlineStr">
        <is>
          <t>最近のブレークスルーにより、実用的な量子コンピュータが10年以内に登場する可能性が示唆されています。</t>
        </is>
      </c>
      <c r="K69" s="60" t="inlineStr">
        <is>
          <t>https://www.nature.com/articles/d41586-026-02219-8</t>
        </is>
      </c>
      <c r="L69" s="60" t="inlineStr">
        <is>
          <t>626697d1d64f5d985431135f</t>
        </is>
      </c>
      <c r="M69" s="75" t="inlineStr">
        <is>
          <t>2026-07-26T18:56:03+09:00</t>
        </is>
      </c>
      <c r="N69" s="60" t="inlineStr">
        <is>
          <t>New</t>
        </is>
      </c>
      <c r="O69" s="60" t="inlineStr"/>
    </row>
    <row r="70" ht="42" customHeight="1">
      <c r="A70" s="75" t="inlineStr">
        <is>
          <t>2026-07-26T18:56:03+09:00</t>
        </is>
      </c>
      <c r="B70" s="75" t="inlineStr">
        <is>
          <t>2026-07-22T00:00:00Z</t>
        </is>
      </c>
      <c r="C70" s="60" t="inlineStr">
        <is>
          <t>Global</t>
        </is>
      </c>
      <c r="D70" s="60" t="inlineStr">
        <is>
          <t>Global</t>
        </is>
      </c>
      <c r="E70" s="60" t="inlineStr">
        <is>
          <t>Biotechnology</t>
        </is>
      </c>
      <c r="F70" s="76" t="n">
        <v>0</v>
      </c>
      <c r="G70" s="60" t="inlineStr">
        <is>
          <t>Scientific Publication</t>
        </is>
      </c>
      <c r="H70" s="60" t="inlineStr">
        <is>
          <t>Nature</t>
        </is>
      </c>
      <c r="I70" s="60" t="inlineStr">
        <is>
          <t>CRISPR–Casが抗ファージ防御システムの発現を調節</t>
        </is>
      </c>
      <c r="J70" s="60" t="inlineStr">
        <is>
          <t>CRISPR–Casシステムが多様な先天的防御を調整し、ウイルスからの保護と適応度のバランスを取る仕組みが解明されました。</t>
        </is>
      </c>
      <c r="K70" s="60" t="inlineStr">
        <is>
          <t>https://www.nature.com/articles/s41586-026-10833-9</t>
        </is>
      </c>
      <c r="L70" s="60" t="inlineStr">
        <is>
          <t>a49dbeef4f425713e07751f7</t>
        </is>
      </c>
      <c r="M70" s="75" t="inlineStr">
        <is>
          <t>2026-07-26T18:56:03+09:00</t>
        </is>
      </c>
      <c r="N70" s="60" t="inlineStr">
        <is>
          <t>New</t>
        </is>
      </c>
      <c r="O70" s="60" t="inlineStr"/>
    </row>
    <row r="71" ht="42" customHeight="1">
      <c r="A71" s="75" t="inlineStr">
        <is>
          <t>2026-07-26T18:56:03+09:00</t>
        </is>
      </c>
      <c r="B71" s="75" t="inlineStr">
        <is>
          <t>2026-07-21T22:35:45Z</t>
        </is>
      </c>
      <c r="C71" s="60" t="inlineStr">
        <is>
          <t>Global</t>
        </is>
      </c>
      <c r="D71" s="60" t="inlineStr">
        <is>
          <t>United States</t>
        </is>
      </c>
      <c r="E71" s="60" t="inlineStr">
        <is>
          <t>Artificial Intelligence | Semiconductors &amp; Telecom</t>
        </is>
      </c>
      <c r="F71" s="76" t="n">
        <v>0</v>
      </c>
      <c r="G71" s="60" t="inlineStr">
        <is>
          <t>Official Company</t>
        </is>
      </c>
      <c r="H71" s="60" t="inlineStr">
        <is>
          <t>NVIDIA Blog</t>
        </is>
      </c>
      <c r="I71" s="60" t="inlineStr">
        <is>
          <t>フォートワースにおけるWistronの先進製造工場開設</t>
        </is>
      </c>
      <c r="J71" s="60" t="inlineStr">
        <is>
          <t>Wistronがテキサス州フォートワースにAIシステム用の先進製造工場を開設し、324,000平方フィートの施設でスーパーチップを生産します。</t>
        </is>
      </c>
      <c r="K71" s="60" t="inlineStr">
        <is>
          <t>https://blogs.nvidia.com/blog/wistron-manufacturing-texas/</t>
        </is>
      </c>
      <c r="L71" s="60" t="inlineStr">
        <is>
          <t>21f1e1f3e19b1a5bf0af3cb7</t>
        </is>
      </c>
      <c r="M71" s="75" t="inlineStr">
        <is>
          <t>2026-07-26T18:56:03+09:00</t>
        </is>
      </c>
      <c r="N71" s="60" t="inlineStr">
        <is>
          <t>New</t>
        </is>
      </c>
      <c r="O71" s="60" t="inlineStr"/>
    </row>
    <row r="72" ht="42" customHeight="1">
      <c r="A72" s="75" t="inlineStr">
        <is>
          <t>2026-07-26T18:56:03+09:00</t>
        </is>
      </c>
      <c r="B72" s="75" t="inlineStr">
        <is>
          <t>2026-07-21T19:44:19Z</t>
        </is>
      </c>
      <c r="C72" s="60" t="inlineStr">
        <is>
          <t>Global</t>
        </is>
      </c>
      <c r="D72" s="60" t="inlineStr">
        <is>
          <t>Global</t>
        </is>
      </c>
      <c r="E72" s="60" t="inlineStr">
        <is>
          <t>Innovation Policy | Fusion Energy</t>
        </is>
      </c>
      <c r="F72" s="76" t="n">
        <v>2</v>
      </c>
      <c r="G72" s="60" t="inlineStr">
        <is>
          <t>Industry Association</t>
        </is>
      </c>
      <c r="H72" s="60" t="inlineStr">
        <is>
          <t>Fusion Industry Association</t>
        </is>
      </c>
      <c r="I72" s="60" t="inlineStr">
        <is>
          <t>FIAとクリーンエアタスクフォースが融合エネルギーの基準を発表</t>
        </is>
      </c>
      <c r="J72" s="60" t="inlineStr">
        <is>
          <t>融合産業協会がクリーンエアタスクフォースと共同で、融合エネルギーの安全な展開を確保しつつ革新を促進するための原則をまとめた文書を発表しました。</t>
        </is>
      </c>
      <c r="K72" s="60" t="inlineStr">
        <is>
          <t>https://www.fusionindustryassociation.org/fia-and-clean-air-task-force-publish-principles-on-codes-and-standards/?utm_source=rss&amp;utm_medium=rss&amp;utm_campaign=fia-and-clean-air-task-force-publish-principles-on-codes-and-standards</t>
        </is>
      </c>
      <c r="L72" s="60" t="inlineStr">
        <is>
          <t>2366dc909672b56b77a196bd</t>
        </is>
      </c>
      <c r="M72" s="75" t="inlineStr">
        <is>
          <t>2026-07-26T18:56:03+09:00</t>
        </is>
      </c>
      <c r="N72" s="60" t="inlineStr">
        <is>
          <t>New</t>
        </is>
      </c>
      <c r="O72" s="60" t="inlineStr"/>
    </row>
    <row r="73" ht="42" customHeight="1">
      <c r="A73" s="75" t="inlineStr">
        <is>
          <t>2026-07-26T18:56:03+09:00</t>
        </is>
      </c>
      <c r="B73" s="75" t="inlineStr">
        <is>
          <t>2026-07-21T17:00:00Z</t>
        </is>
      </c>
      <c r="C73" s="60" t="inlineStr">
        <is>
          <t>Global</t>
        </is>
      </c>
      <c r="D73" s="60" t="inlineStr">
        <is>
          <t>United States</t>
        </is>
      </c>
      <c r="E73" s="60" t="inlineStr">
        <is>
          <t>Artificial Intelligence</t>
        </is>
      </c>
      <c r="F73" s="76" t="n">
        <v>1</v>
      </c>
      <c r="G73" s="60" t="inlineStr">
        <is>
          <t>Official Company</t>
        </is>
      </c>
      <c r="H73" s="60" t="inlineStr">
        <is>
          <t>OpenAI News</t>
        </is>
      </c>
      <c r="I73" s="60" t="inlineStr">
        <is>
          <t>小規模ビジネス向けChatGPTプログラムの導入</t>
        </is>
      </c>
      <c r="J73" s="60" t="inlineStr">
        <is>
          <t>OpenAIが小規模ビジネス向けのChatGPTプログラムを開始し、起業家がAIスキルを習得し、業務を自動化し、成長を促進する手助けを行います。</t>
        </is>
      </c>
      <c r="K73" s="60" t="inlineStr">
        <is>
          <t>https://openai.com/index/introducing-chatgpt-small-business-program</t>
        </is>
      </c>
      <c r="L73" s="60" t="inlineStr">
        <is>
          <t>3064e426d18ccd85acab9b00</t>
        </is>
      </c>
      <c r="M73" s="75" t="inlineStr">
        <is>
          <t>2026-07-26T18:56:03+09:00</t>
        </is>
      </c>
      <c r="N73" s="60" t="inlineStr">
        <is>
          <t>New</t>
        </is>
      </c>
      <c r="O73" s="60" t="inlineStr"/>
    </row>
    <row r="74" ht="42" customHeight="1">
      <c r="A74" s="75" t="inlineStr">
        <is>
          <t>2026-07-26T18:56:03+09:00</t>
        </is>
      </c>
      <c r="B74" s="75" t="inlineStr">
        <is>
          <t>2026-07-21T15:36:43Z</t>
        </is>
      </c>
      <c r="C74" s="60" t="inlineStr">
        <is>
          <t>Global</t>
        </is>
      </c>
      <c r="D74" s="60" t="inlineStr">
        <is>
          <t>United States</t>
        </is>
      </c>
      <c r="E74" s="60" t="inlineStr">
        <is>
          <t>Semiconductors &amp; Telecom</t>
        </is>
      </c>
      <c r="F74" s="76" t="n">
        <v>0</v>
      </c>
      <c r="G74" s="60" t="inlineStr">
        <is>
          <t>Official Company</t>
        </is>
      </c>
      <c r="H74" s="60" t="inlineStr">
        <is>
          <t>NVIDIA Blog</t>
        </is>
      </c>
      <c r="I74" s="60" t="inlineStr">
        <is>
          <t>NVIDIA Vera Rubin、パートナー向けに最適な性能とコストを提供</t>
        </is>
      </c>
      <c r="J74" s="60" t="inlineStr">
        <is>
          <t>NVIDIA Vera Rubinが生産を拡大し、CoreWeave、Google Cloud、Microsoft Azure、Oracle Cloud Infrastructureなどのパートナーと共に、350以上の工場サイトで顧客の計算需要に応えるための供給チェーンを構築しています。</t>
        </is>
      </c>
      <c r="K74" s="60" t="inlineStr">
        <is>
          <t>https://blogs.nvidia.com/blog/vera-rubin/</t>
        </is>
      </c>
      <c r="L74" s="60" t="inlineStr">
        <is>
          <t>ffef75ffd9647e2c722b429e</t>
        </is>
      </c>
      <c r="M74" s="75" t="inlineStr">
        <is>
          <t>2026-07-26T18:56:03+09:00</t>
        </is>
      </c>
      <c r="N74" s="60" t="inlineStr">
        <is>
          <t>New</t>
        </is>
      </c>
      <c r="O74" s="60" t="inlineStr"/>
    </row>
    <row r="75" ht="42" customHeight="1">
      <c r="A75" s="75" t="inlineStr">
        <is>
          <t>2026-07-26T18:56:03+09:00</t>
        </is>
      </c>
      <c r="B75" s="75" t="inlineStr">
        <is>
          <t>2026-07-21T15:06:49Z</t>
        </is>
      </c>
      <c r="C75" s="60" t="inlineStr">
        <is>
          <t>EU &amp; Europe</t>
        </is>
      </c>
      <c r="D75" s="60" t="inlineStr">
        <is>
          <t>United Kingdom</t>
        </is>
      </c>
      <c r="E75" s="60" t="inlineStr">
        <is>
          <t>Innovation Policy</t>
        </is>
      </c>
      <c r="F75" s="76" t="n">
        <v>3</v>
      </c>
      <c r="G75" s="60" t="inlineStr">
        <is>
          <t>Government</t>
        </is>
      </c>
      <c r="H75" s="60" t="inlineStr">
        <is>
          <t>UK DSIT</t>
        </is>
      </c>
      <c r="I75" s="60" t="inlineStr">
        <is>
          <t>透明性データ：DSIT：労働力管理情報、2026年6月</t>
        </is>
      </c>
      <c r="J75" s="60" t="inlineStr">
        <is>
          <t>部門のスタッフ数とコストに関する報告が行われています。</t>
        </is>
      </c>
      <c r="K75" s="60" t="inlineStr">
        <is>
          <t>https://www.gov.uk/government/publications/dsit-workforce-management-information-june-2026</t>
        </is>
      </c>
      <c r="L75" s="60" t="inlineStr">
        <is>
          <t>68c02c5c6a2ee3c9c91fc7f1</t>
        </is>
      </c>
      <c r="M75" s="75" t="inlineStr">
        <is>
          <t>2026-07-26T18:56:03+09:00</t>
        </is>
      </c>
      <c r="N75" s="60" t="inlineStr">
        <is>
          <t>New</t>
        </is>
      </c>
      <c r="O75" s="60" t="inlineStr"/>
    </row>
    <row r="76" ht="42" customHeight="1">
      <c r="A76" s="75" t="inlineStr">
        <is>
          <t>2026-07-26T18:56:03+09:00</t>
        </is>
      </c>
      <c r="B76" s="75" t="inlineStr">
        <is>
          <t>2026-07-21T15:06:31Z</t>
        </is>
      </c>
      <c r="C76" s="60" t="inlineStr">
        <is>
          <t>EU &amp; Europe</t>
        </is>
      </c>
      <c r="D76" s="60" t="inlineStr">
        <is>
          <t>United Kingdom</t>
        </is>
      </c>
      <c r="E76" s="60" t="inlineStr">
        <is>
          <t>Innovation Policy</t>
        </is>
      </c>
      <c r="F76" s="76" t="n">
        <v>5</v>
      </c>
      <c r="G76" s="60" t="inlineStr">
        <is>
          <t>Government</t>
        </is>
      </c>
      <c r="H76" s="60" t="inlineStr">
        <is>
          <t>UK DSIT</t>
        </is>
      </c>
      <c r="I76" s="60" t="inlineStr">
        <is>
          <t>ガイダンス：TechFirstローカル</t>
        </is>
      </c>
      <c r="J76" s="60" t="inlineStr">
        <is>
          <t>TechFirstローカル助成金プログラムの詳細が公開され、デジタルスキルの向上とテクノロジー職への支援が行われます。</t>
        </is>
      </c>
      <c r="K76" s="60" t="inlineStr">
        <is>
          <t>https://www.gov.uk/government/publications/techlocal</t>
        </is>
      </c>
      <c r="L76" s="60" t="inlineStr">
        <is>
          <t>88893e13a25a6efc42ed57ea</t>
        </is>
      </c>
      <c r="M76" s="75" t="inlineStr">
        <is>
          <t>2026-07-26T18:56:03+09:00</t>
        </is>
      </c>
      <c r="N76" s="60" t="inlineStr">
        <is>
          <t>New</t>
        </is>
      </c>
      <c r="O76" s="60" t="inlineStr"/>
    </row>
    <row r="77" ht="42" customHeight="1">
      <c r="A77" s="75" t="inlineStr">
        <is>
          <t>2026-07-26T18:56:03+09:00</t>
        </is>
      </c>
      <c r="B77" s="75" t="inlineStr">
        <is>
          <t>2026-07-21T15:05:29Z</t>
        </is>
      </c>
      <c r="C77" s="60" t="inlineStr">
        <is>
          <t>EU &amp; Europe</t>
        </is>
      </c>
      <c r="D77" s="60" t="inlineStr">
        <is>
          <t>United Kingdom</t>
        </is>
      </c>
      <c r="E77" s="60" t="inlineStr">
        <is>
          <t>Innovation Policy</t>
        </is>
      </c>
      <c r="F77" s="76" t="n">
        <v>3</v>
      </c>
      <c r="G77" s="60" t="inlineStr">
        <is>
          <t>Government</t>
        </is>
      </c>
      <c r="H77" s="60" t="inlineStr">
        <is>
          <t>UK DSIT</t>
        </is>
      </c>
      <c r="I77" s="60" t="inlineStr">
        <is>
          <t>TechFirst博士課程支援</t>
        </is>
      </c>
      <c r="J77" s="60" t="inlineStr">
        <is>
          <t>TechFirstの一環として、英国の急成長するテクノロジーセクターへの道を開く政府のスキルプログラムです。</t>
        </is>
      </c>
      <c r="K77" s="60" t="inlineStr">
        <is>
          <t>https://www.gov.uk/guidance/techexpert</t>
        </is>
      </c>
      <c r="L77" s="60" t="inlineStr">
        <is>
          <t>406416679082f87595cbd50b</t>
        </is>
      </c>
      <c r="M77" s="75" t="inlineStr">
        <is>
          <t>2026-07-26T18:56:03+09:00</t>
        </is>
      </c>
      <c r="N77" s="60" t="inlineStr">
        <is>
          <t>New</t>
        </is>
      </c>
      <c r="O77" s="60" t="inlineStr"/>
    </row>
    <row r="78" ht="42" customHeight="1">
      <c r="A78" s="75" t="inlineStr">
        <is>
          <t>2026-07-26T18:56:03+09:00</t>
        </is>
      </c>
      <c r="B78" s="75" t="inlineStr">
        <is>
          <t>2026-07-21T15:05:21Z</t>
        </is>
      </c>
      <c r="C78" s="60" t="inlineStr">
        <is>
          <t>EU &amp; Europe</t>
        </is>
      </c>
      <c r="D78" s="60" t="inlineStr">
        <is>
          <t>United Kingdom</t>
        </is>
      </c>
      <c r="E78" s="60" t="inlineStr">
        <is>
          <t>Innovation Policy</t>
        </is>
      </c>
      <c r="F78" s="76" t="n">
        <v>3</v>
      </c>
      <c r="G78" s="60" t="inlineStr">
        <is>
          <t>Government</t>
        </is>
      </c>
      <c r="H78" s="60" t="inlineStr">
        <is>
          <t>UK DSIT</t>
        </is>
      </c>
      <c r="I78" s="60" t="inlineStr">
        <is>
          <t>TechFirst</t>
        </is>
      </c>
      <c r="J78" s="60" t="inlineStr">
        <is>
          <t>TechFirstは、英国の急成長するテクノロジーセクターへの道を開く政府の主力技術スキルプログラムであり、英国全土での機会を提供します。</t>
        </is>
      </c>
      <c r="K78" s="60" t="inlineStr">
        <is>
          <t>https://www.gov.uk/guidance/techfirst</t>
        </is>
      </c>
      <c r="L78" s="60" t="inlineStr">
        <is>
          <t>4ae9e496e9b66c66de074041</t>
        </is>
      </c>
      <c r="M78" s="75" t="inlineStr">
        <is>
          <t>2026-07-26T18:56:03+09:00</t>
        </is>
      </c>
      <c r="N78" s="60" t="inlineStr">
        <is>
          <t>New</t>
        </is>
      </c>
      <c r="O78" s="60" t="inlineStr"/>
    </row>
    <row r="79" ht="42" customHeight="1">
      <c r="A79" s="75" t="inlineStr">
        <is>
          <t>2026-07-26T18:56:03+09:00</t>
        </is>
      </c>
      <c r="B79" s="75" t="inlineStr">
        <is>
          <t>2026-07-21T15:05:11Z</t>
        </is>
      </c>
      <c r="C79" s="60" t="inlineStr">
        <is>
          <t>EU &amp; Europe</t>
        </is>
      </c>
      <c r="D79" s="60" t="inlineStr">
        <is>
          <t>United Kingdom</t>
        </is>
      </c>
      <c r="E79" s="60" t="inlineStr">
        <is>
          <t>Innovation Policy | Semiconductors &amp; Telecom</t>
        </is>
      </c>
      <c r="F79" s="76" t="n">
        <v>3</v>
      </c>
      <c r="G79" s="60" t="inlineStr">
        <is>
          <t>Government</t>
        </is>
      </c>
      <c r="H79" s="60" t="inlineStr">
        <is>
          <t>UK DSIT</t>
        </is>
      </c>
      <c r="I79" s="60" t="inlineStr">
        <is>
          <t>政策文書：固定通信の近代化憲章</t>
        </is>
      </c>
      <c r="J79" s="60" t="inlineStr">
        <is>
          <t>この文書は、通信事業者が現在および将来の固定通信の近代化を実施する際に従うべき手順を示しています。</t>
        </is>
      </c>
      <c r="K79" s="60" t="inlineStr">
        <is>
          <t>https://www.gov.uk/government/publications/fixed-telecoms-modernisation-charter</t>
        </is>
      </c>
      <c r="L79" s="60" t="inlineStr">
        <is>
          <t>d5e4431b57fcb4b6271f6c72</t>
        </is>
      </c>
      <c r="M79" s="75" t="inlineStr">
        <is>
          <t>2026-07-26T18:56:03+09:00</t>
        </is>
      </c>
      <c r="N79" s="60" t="inlineStr">
        <is>
          <t>New</t>
        </is>
      </c>
      <c r="O79" s="60" t="inlineStr"/>
    </row>
    <row r="80" ht="42" customHeight="1">
      <c r="A80" s="75" t="inlineStr">
        <is>
          <t>2026-07-26T18:56:03+09:00</t>
        </is>
      </c>
      <c r="B80" s="75" t="inlineStr">
        <is>
          <t>2026-07-21T15:00:20Z</t>
        </is>
      </c>
      <c r="C80" s="60" t="inlineStr">
        <is>
          <t>Global</t>
        </is>
      </c>
      <c r="D80" s="60" t="inlineStr">
        <is>
          <t>United States</t>
        </is>
      </c>
      <c r="E80" s="60" t="inlineStr">
        <is>
          <t>Artificial Intelligence | Semiconductors &amp; Telecom</t>
        </is>
      </c>
      <c r="F80" s="76" t="n">
        <v>0</v>
      </c>
      <c r="G80" s="60" t="inlineStr">
        <is>
          <t>Official Company</t>
        </is>
      </c>
      <c r="H80" s="60" t="inlineStr">
        <is>
          <t>NVIDIA Blog</t>
        </is>
      </c>
      <c r="I80" s="60" t="inlineStr">
        <is>
          <t>Vera Rubin向けに設計されたNVIDIA Spectrum-6、ギガスケールAI工場に登場</t>
        </is>
      </c>
      <c r="J80" s="60" t="inlineStr">
        <is>
          <t>AIがギガスケールの時代に突入し、最先端のAI工場が数十万のGPUとCPUを統合して新たな知能を生成しています。このレベルでは、ネットワーキングが計算能力を高める重要な要素となります。</t>
        </is>
      </c>
      <c r="K80" s="60" t="inlineStr">
        <is>
          <t>https://blogs.nvidia.com/blog/nvidia-spectrum-six-arrives-in-gigascale-ai-factories/</t>
        </is>
      </c>
      <c r="L80" s="60" t="inlineStr">
        <is>
          <t>6f3401cebeb5dc5a8f12a872</t>
        </is>
      </c>
      <c r="M80" s="75" t="inlineStr">
        <is>
          <t>2026-07-26T18:56:03+09:00</t>
        </is>
      </c>
      <c r="N80" s="60" t="inlineStr">
        <is>
          <t>New</t>
        </is>
      </c>
      <c r="O80" s="60" t="inlineStr"/>
    </row>
    <row r="81" ht="42" customHeight="1">
      <c r="A81" s="75" t="inlineStr">
        <is>
          <t>2026-07-26T18:56:03+09:00</t>
        </is>
      </c>
      <c r="B81" s="75" t="inlineStr">
        <is>
          <t>2026-07-21T14:48:28Z</t>
        </is>
      </c>
      <c r="C81" s="60" t="inlineStr">
        <is>
          <t>EU &amp; Europe</t>
        </is>
      </c>
      <c r="D81" s="60" t="inlineStr">
        <is>
          <t>Global</t>
        </is>
      </c>
      <c r="E81" s="60" t="inlineStr">
        <is>
          <t>Fusion Energy</t>
        </is>
      </c>
      <c r="F81" s="76" t="n">
        <v>1</v>
      </c>
      <c r="G81" s="60" t="inlineStr">
        <is>
          <t>Industry Association</t>
        </is>
      </c>
      <c r="H81" s="60" t="inlineStr">
        <is>
          <t>Fusion Industry Association</t>
        </is>
      </c>
      <c r="I81" s="60" t="inlineStr">
        <is>
          <t>FIA、EUの核融合エネルギー資金調達の道筋を示す</t>
        </is>
      </c>
      <c r="J81" s="60" t="inlineStr">
        <is>
          <t>核融合産業協会は、商業核融合エネルギーのための実用的なEU資金調達ロードマップを発表しました。研究から実証、商業展開に向けた各段階で必要な資金調達手法の進化が求められています。</t>
        </is>
      </c>
      <c r="K81" s="60" t="inlineStr">
        <is>
          <t>https://www.fusionindustryassociation.org/fia-outlines-eu-financing-pathway-for-fusion/?utm_source=rss&amp;utm_medium=rss&amp;utm_campaign=fia-outlines-eu-financing-pathway-for-fusion</t>
        </is>
      </c>
      <c r="L81" s="60" t="inlineStr">
        <is>
          <t>88af233d904d670250fa5a31</t>
        </is>
      </c>
      <c r="M81" s="75" t="inlineStr">
        <is>
          <t>2026-07-26T18:56:03+09:00</t>
        </is>
      </c>
      <c r="N81" s="60" t="inlineStr">
        <is>
          <t>New</t>
        </is>
      </c>
      <c r="O81" s="60" t="inlineStr"/>
    </row>
    <row r="82" ht="42" customHeight="1">
      <c r="A82" s="75" t="inlineStr">
        <is>
          <t>2026-07-26T18:56:03+09:00</t>
        </is>
      </c>
      <c r="B82" s="75" t="inlineStr">
        <is>
          <t>2026-07-21T13:30:36Z</t>
        </is>
      </c>
      <c r="C82" s="60" t="inlineStr">
        <is>
          <t>United States</t>
        </is>
      </c>
      <c r="D82" s="60" t="inlineStr">
        <is>
          <t>United States</t>
        </is>
      </c>
      <c r="E82" s="60" t="inlineStr">
        <is>
          <t>Innovation Policy | Artificial Intelligence</t>
        </is>
      </c>
      <c r="F82" s="76" t="n">
        <v>3</v>
      </c>
      <c r="G82" s="60" t="inlineStr">
        <is>
          <t>Policy Institute</t>
        </is>
      </c>
      <c r="H82" s="60" t="inlineStr">
        <is>
          <t>CSET</t>
        </is>
      </c>
      <c r="I82" s="60" t="inlineStr">
        <is>
          <t>AIシステムはなぜ誤動作するのか？</t>
        </is>
      </c>
      <c r="J82" s="60" t="inlineStr">
        <is>
          <t>AIシステムの進化が進む中、その失敗の原因について考察するブログが公開されました。AIの誤動作の原因を探る内容です。</t>
        </is>
      </c>
      <c r="K82" s="60" t="inlineStr">
        <is>
          <t>https://cset.georgetown.edu/article/why-do-ai-systems-misbehave/</t>
        </is>
      </c>
      <c r="L82" s="60" t="inlineStr">
        <is>
          <t>3e1aa390ad965782cc86c386</t>
        </is>
      </c>
      <c r="M82" s="75" t="inlineStr">
        <is>
          <t>2026-07-26T18:56:03+09:00</t>
        </is>
      </c>
      <c r="N82" s="60" t="inlineStr">
        <is>
          <t>New</t>
        </is>
      </c>
      <c r="O82" s="60" t="inlineStr"/>
    </row>
    <row r="83" ht="42" customHeight="1">
      <c r="A83" s="75" t="inlineStr">
        <is>
          <t>2026-07-26T18:56:03+09:00</t>
        </is>
      </c>
      <c r="B83" s="75" t="inlineStr">
        <is>
          <t>2026-07-21T13:00:47Z</t>
        </is>
      </c>
      <c r="C83" s="60" t="inlineStr">
        <is>
          <t>United States</t>
        </is>
      </c>
      <c r="D83" s="60" t="inlineStr">
        <is>
          <t>United States</t>
        </is>
      </c>
      <c r="E83" s="60" t="inlineStr">
        <is>
          <t>Artificial Intelligence | Semiconductors &amp; Telecom | Healthcare</t>
        </is>
      </c>
      <c r="F83" s="76" t="n">
        <v>0</v>
      </c>
      <c r="G83" s="60" t="inlineStr">
        <is>
          <t>Official Company</t>
        </is>
      </c>
      <c r="H83" s="60" t="inlineStr">
        <is>
          <t>NVIDIA Blog</t>
        </is>
      </c>
      <c r="I83" s="60" t="inlineStr">
        <is>
          <t>NVIDIAとパートナー、アメリカのために製造を推進</t>
        </is>
      </c>
      <c r="J83" s="60" t="inlineStr">
        <is>
          <t>NVIDIAとそのパートナーは、アメリカの製造業、供給網、エネルギー網、熟練労働力に投資し、より良い医療、画期的な科学的発見、産業生産性の向上、グローバルな技術リーダーシップを実現するためのインフラを構築しています。</t>
        </is>
      </c>
      <c r="K83" s="60" t="inlineStr">
        <is>
          <t>https://blogs.nvidia.com/blog/nvidia-and-partners-build-in-america-for-america/</t>
        </is>
      </c>
      <c r="L83" s="60" t="inlineStr">
        <is>
          <t>c815807553a0a9fc82116a87</t>
        </is>
      </c>
      <c r="M83" s="75" t="inlineStr">
        <is>
          <t>2026-07-26T18:56:03+09:00</t>
        </is>
      </c>
      <c r="N83" s="60" t="inlineStr">
        <is>
          <t>New</t>
        </is>
      </c>
      <c r="O83" s="60" t="inlineStr"/>
    </row>
    <row r="84" ht="42" customHeight="1">
      <c r="A84" s="75" t="inlineStr">
        <is>
          <t>2026-07-26T18:56:03+09:00</t>
        </is>
      </c>
      <c r="B84" s="75" t="inlineStr">
        <is>
          <t>2026-07-21T13:00:14Z</t>
        </is>
      </c>
      <c r="C84" s="60" t="inlineStr">
        <is>
          <t>Global</t>
        </is>
      </c>
      <c r="D84" s="60" t="inlineStr">
        <is>
          <t>United States</t>
        </is>
      </c>
      <c r="E84" s="60" t="inlineStr">
        <is>
          <t>Semiconductors &amp; Telecom</t>
        </is>
      </c>
      <c r="F84" s="76" t="n">
        <v>0</v>
      </c>
      <c r="G84" s="60" t="inlineStr">
        <is>
          <t>Official Company</t>
        </is>
      </c>
      <c r="H84" s="60" t="inlineStr">
        <is>
          <t>Intel Newsroom</t>
        </is>
      </c>
      <c r="I84" s="60" t="inlineStr">
        <is>
          <t>インテルとフォーティネット、サイバーセキュリティ革新を推進し供給網の強靭性を強化</t>
        </is>
      </c>
      <c r="J84" s="60" t="inlineStr">
        <is>
          <t>インテルとフォーティネットは、Fortinet Security Processor 6 (SP6)の開発に向けた戦略的な協力を発表しました。このコラボレーションは、両社の長年の関係を基に、セキュリティプロセッサの専門知識とインテルの先進的な設計・製造能力を組み合わせています。</t>
        </is>
      </c>
      <c r="K84" s="60" t="inlineStr">
        <is>
          <t>https://newsroom.intel.com/manufacturing/intel-and-fortinet-collaborate-to-advance-cybersecurity-innovation-and-strengthen-global-supply-chain-resilience</t>
        </is>
      </c>
      <c r="L84" s="60" t="inlineStr">
        <is>
          <t>28388342f57d2cae1a96b7b7</t>
        </is>
      </c>
      <c r="M84" s="75" t="inlineStr">
        <is>
          <t>2026-07-26T18:56:03+09:00</t>
        </is>
      </c>
      <c r="N84" s="60" t="inlineStr">
        <is>
          <t>New</t>
        </is>
      </c>
      <c r="O84" s="60" t="inlineStr"/>
    </row>
    <row r="85" ht="42" customHeight="1">
      <c r="A85" s="75" t="inlineStr">
        <is>
          <t>2026-07-26T18:56:03+09:00</t>
        </is>
      </c>
      <c r="B85" s="75" t="inlineStr">
        <is>
          <t>2026-07-21T12:10:00Z</t>
        </is>
      </c>
      <c r="C85" s="60" t="inlineStr">
        <is>
          <t>Asia</t>
        </is>
      </c>
      <c r="D85" s="60" t="inlineStr">
        <is>
          <t>United States</t>
        </is>
      </c>
      <c r="E85" s="60" t="inlineStr">
        <is>
          <t>Artificial Intelligence</t>
        </is>
      </c>
      <c r="F85" s="76" t="n">
        <v>1</v>
      </c>
      <c r="G85" s="60" t="inlineStr">
        <is>
          <t>Major Media</t>
        </is>
      </c>
      <c r="H85" s="60" t="inlineStr">
        <is>
          <t>MIT Technology Review</t>
        </is>
      </c>
      <c r="I85" s="60" t="inlineStr">
        <is>
          <t>ダウンロード：中国のAIがホワイトハウスを分断、記録的な著作権支払い</t>
        </is>
      </c>
      <c r="J85" s="60" t="inlineStr">
        <is>
          <t>本日のテクノロジーに関するニュースレターでは、中国のAIモデルがトランプ政権内での対立を引き起こしていることが報じられている。</t>
        </is>
      </c>
      <c r="K85" s="60" t="inlineStr">
        <is>
          <t>https://www.technologyreview.com/2026/07/21/1140685/the-download-chinese-ai-divides-white-house-anthropic-copyright-settlement/</t>
        </is>
      </c>
      <c r="L85" s="60" t="inlineStr">
        <is>
          <t>f9addf0904b9de5b7bcc326b</t>
        </is>
      </c>
      <c r="M85" s="75" t="inlineStr">
        <is>
          <t>2026-07-26T18:56:03+09:00</t>
        </is>
      </c>
      <c r="N85" s="60" t="inlineStr">
        <is>
          <t>New</t>
        </is>
      </c>
      <c r="O85" s="60" t="inlineStr"/>
    </row>
    <row r="86" ht="42" customHeight="1">
      <c r="A86" s="75" t="inlineStr">
        <is>
          <t>2026-07-26T18:56:03+09:00</t>
        </is>
      </c>
      <c r="B86" s="75" t="inlineStr">
        <is>
          <t>2026-07-21T10:37:34Z</t>
        </is>
      </c>
      <c r="C86" s="60" t="inlineStr">
        <is>
          <t>Global</t>
        </is>
      </c>
      <c r="D86" s="60" t="inlineStr">
        <is>
          <t>United States</t>
        </is>
      </c>
      <c r="E86" s="60" t="inlineStr">
        <is>
          <t>Artificial Intelligence | Semiconductors &amp; Telecom</t>
        </is>
      </c>
      <c r="F86" s="76" t="n">
        <v>0</v>
      </c>
      <c r="G86" s="60" t="inlineStr">
        <is>
          <t>Major Media</t>
        </is>
      </c>
      <c r="H86" s="60" t="inlineStr">
        <is>
          <t>MIT Technology Review</t>
        </is>
      </c>
      <c r="I86" s="60" t="inlineStr">
        <is>
          <t>材料科学の革新で次世代AIを推進</t>
        </is>
      </c>
      <c r="J86" s="60" t="inlineStr">
        <is>
          <t>AIに関する議論はアルゴリズムや計算能力に集中しがちだが、これらの進展を可能にするもう一つの革新の層が存在する。それは先進材料であり、次世代のAI技術はより多くの処理能力やメモリ、エネルギー効率を求めている。</t>
        </is>
      </c>
      <c r="K86" s="60" t="inlineStr">
        <is>
          <t>https://www.technologyreview.com/2026/07/21/1140602/advancing-next-gen-ai-with-materials-science-innovation/</t>
        </is>
      </c>
      <c r="L86" s="60" t="inlineStr">
        <is>
          <t>6b7e59d6f503e3d45c9ea292</t>
        </is>
      </c>
      <c r="M86" s="75" t="inlineStr">
        <is>
          <t>2026-07-26T18:56:03+09:00</t>
        </is>
      </c>
      <c r="N86" s="60" t="inlineStr">
        <is>
          <t>New</t>
        </is>
      </c>
      <c r="O86" s="60" t="inlineStr"/>
    </row>
    <row r="87" ht="42" customHeight="1">
      <c r="A87" s="75" t="inlineStr">
        <is>
          <t>2026-07-26T18:56:03+09:00</t>
        </is>
      </c>
      <c r="B87" s="75" t="inlineStr">
        <is>
          <t>2026-07-21T08:26:17Z</t>
        </is>
      </c>
      <c r="C87" s="60" t="inlineStr">
        <is>
          <t>Global</t>
        </is>
      </c>
      <c r="D87" s="60" t="inlineStr">
        <is>
          <t>Global</t>
        </is>
      </c>
      <c r="E87" s="60" t="inlineStr">
        <is>
          <t>Healthcare</t>
        </is>
      </c>
      <c r="F87" s="76" t="n">
        <v>1</v>
      </c>
      <c r="G87" s="60" t="inlineStr">
        <is>
          <t>Intergovernmental</t>
        </is>
      </c>
      <c r="H87" s="60" t="inlineStr">
        <is>
          <t>WHO News</t>
        </is>
      </c>
      <c r="I87" s="60" t="inlineStr">
        <is>
          <t>国連報告：世界の飢餓レベルが3年連続で改善も地域格差が残る</t>
        </is>
      </c>
      <c r="J87" s="60" t="inlineStr">
        <is>
          <t>2025年に世界の飢餓が3年連続で減少したことが報告されているが、改善は脆弱で不均一であり、2030年までに持続可能な開発目標を達成するには不十分であると指摘されている。</t>
        </is>
      </c>
      <c r="K87" s="60" t="inlineStr">
        <is>
          <t>https://www.who.int/news/item/21-07-2026-un-report--global-hunger-levels-ease-for-third-consecutive-year-as-regional-disparities-persist</t>
        </is>
      </c>
      <c r="L87" s="60" t="inlineStr">
        <is>
          <t>223e20b3abaf53bd3b29f3e1</t>
        </is>
      </c>
      <c r="M87" s="75" t="inlineStr">
        <is>
          <t>2026-07-26T18:56:03+09:00</t>
        </is>
      </c>
      <c r="N87" s="60" t="inlineStr">
        <is>
          <t>New</t>
        </is>
      </c>
      <c r="O87" s="60" t="inlineStr"/>
    </row>
    <row r="88" ht="42" customHeight="1">
      <c r="A88" s="75" t="inlineStr">
        <is>
          <t>2026-07-26T18:56:03+09:00</t>
        </is>
      </c>
      <c r="B88" s="75" t="inlineStr">
        <is>
          <t>2026-07-21T07:00:00Z</t>
        </is>
      </c>
      <c r="C88" s="60" t="inlineStr">
        <is>
          <t>Global</t>
        </is>
      </c>
      <c r="D88" s="60" t="inlineStr">
        <is>
          <t>United States</t>
        </is>
      </c>
      <c r="E88" s="60" t="inlineStr">
        <is>
          <t>Artificial Intelligence</t>
        </is>
      </c>
      <c r="F88" s="76" t="n">
        <v>1</v>
      </c>
      <c r="G88" s="60" t="inlineStr">
        <is>
          <t>Official Company</t>
        </is>
      </c>
      <c r="H88" s="60" t="inlineStr">
        <is>
          <t>OpenAI News</t>
        </is>
      </c>
      <c r="I88" s="60" t="inlineStr">
        <is>
          <t>OpenAIとHugging Face、モデル評価中のセキュリティインシデントに対処するため提携</t>
        </is>
      </c>
      <c r="J88" s="60" t="inlineStr">
        <is>
          <t>OpenAIとHugging Faceは、AIモデル評価中に発生したセキュリティインシデントに関する初期の調査結果を共有し、高度なサイバー能力と防御者への教訓を強調している。</t>
        </is>
      </c>
      <c r="K88" s="60" t="inlineStr">
        <is>
          <t>https://openai.com/index/hugging-face-model-evaluation-security-incident</t>
        </is>
      </c>
      <c r="L88" s="60" t="inlineStr">
        <is>
          <t>d925d8c91f460a44f07089c2</t>
        </is>
      </c>
      <c r="M88" s="75" t="inlineStr">
        <is>
          <t>2026-07-26T18:56:03+09:00</t>
        </is>
      </c>
      <c r="N88" s="60" t="inlineStr">
        <is>
          <t>New</t>
        </is>
      </c>
      <c r="O88" s="60" t="inlineStr"/>
    </row>
    <row r="89" ht="42" customHeight="1">
      <c r="A89" s="75" t="inlineStr">
        <is>
          <t>2026-07-26T18:56:03+09:00</t>
        </is>
      </c>
      <c r="B89" s="75" t="inlineStr">
        <is>
          <t>2026-07-20T15:55:00Z</t>
        </is>
      </c>
      <c r="C89" s="60" t="inlineStr">
        <is>
          <t>United States</t>
        </is>
      </c>
      <c r="D89" s="60" t="inlineStr">
        <is>
          <t>United States</t>
        </is>
      </c>
      <c r="E89" s="60" t="inlineStr">
        <is>
          <t>Semiconductors &amp; Telecom</t>
        </is>
      </c>
      <c r="F89" s="76" t="n">
        <v>0</v>
      </c>
      <c r="G89" s="60" t="inlineStr">
        <is>
          <t>Major Media</t>
        </is>
      </c>
      <c r="H89" s="60" t="inlineStr">
        <is>
          <t>IEEE Spectrum</t>
        </is>
      </c>
      <c r="I89" s="60" t="inlineStr">
        <is>
          <t>先端半導体故障解析のためのSEMガイド低電圧FIB仕上げ</t>
        </is>
      </c>
      <c r="J89" s="60" t="inlineStr">
        <is>
          <t>ZEISS Crossbeam 750 FIBSEMが、TEMラメラ準備、トモグラフィー、先進的なナノファブリケーションのための新たな基準を設定している。これにより、解像度、信号対雑音比、使用可能な視野が向上し、取得時間が短縮される。</t>
        </is>
      </c>
      <c r="K89" s="60" t="inlineStr">
        <is>
          <t>https://event.on24.com/wcc/r/5418459/287E3D5B99470D34C830D69A24B3B207</t>
        </is>
      </c>
      <c r="L89" s="60" t="inlineStr">
        <is>
          <t>73d0028e337a76c2cd00f1bc</t>
        </is>
      </c>
      <c r="M89" s="75" t="inlineStr">
        <is>
          <t>2026-07-26T18:56:03+09:00</t>
        </is>
      </c>
      <c r="N89" s="60" t="inlineStr">
        <is>
          <t>New</t>
        </is>
      </c>
      <c r="O89" s="60" t="inlineStr"/>
    </row>
    <row r="90" ht="42" customHeight="1">
      <c r="A90" s="75" t="inlineStr">
        <is>
          <t>2026-07-26T18:56:03+09:00</t>
        </is>
      </c>
      <c r="B90" s="75" t="inlineStr">
        <is>
          <t>2026-07-20T15:34:49Z</t>
        </is>
      </c>
      <c r="C90" s="60" t="inlineStr">
        <is>
          <t>Global</t>
        </is>
      </c>
      <c r="D90" s="60" t="inlineStr">
        <is>
          <t>Global</t>
        </is>
      </c>
      <c r="E90" s="60" t="inlineStr">
        <is>
          <t>Healthcare</t>
        </is>
      </c>
      <c r="F90" s="76" t="n">
        <v>1</v>
      </c>
      <c r="G90" s="60" t="inlineStr">
        <is>
          <t>Intergovernmental</t>
        </is>
      </c>
      <c r="H90" s="60" t="inlineStr">
        <is>
          <t>WHO News</t>
        </is>
      </c>
      <c r="I90" s="60" t="inlineStr">
        <is>
          <t>WHOがResearch4Lifeの25周年を記念、120カ国以上で科学知識へのアクセスを促進</t>
        </is>
      </c>
      <c r="J90" s="60" t="inlineStr">
        <is>
          <t>世界保健機関（WHO）は、低中所得国の研究者や教育者、医療専門家、政策立案者に手頃な価格または無料で科学知識へのアクセスを提供する公私パートナーシップResearch4Lifeの25周年を迎えた。このパートナーシップは、120カ国以上で科学知識へのアクセスを大幅に拡大するのに寄与している。</t>
        </is>
      </c>
      <c r="K90" s="60" t="inlineStr">
        <is>
          <t>https://www.who.int/news/item/21-07-2026-who-marks-25-years-of-research4life--advancing-access-to-scientific-knowledge-in-more-than-120-countries</t>
        </is>
      </c>
      <c r="L90" s="60" t="inlineStr">
        <is>
          <t>09e6494006eb3af009c1a30f</t>
        </is>
      </c>
      <c r="M90" s="75" t="inlineStr">
        <is>
          <t>2026-07-26T18:56:03+09:00</t>
        </is>
      </c>
      <c r="N90" s="60" t="inlineStr">
        <is>
          <t>New</t>
        </is>
      </c>
      <c r="O90" s="60" t="inlineStr"/>
    </row>
    <row r="91" ht="42" customHeight="1">
      <c r="A91" s="75" t="inlineStr">
        <is>
          <t>2026-07-26T18:56:03+09:00</t>
        </is>
      </c>
      <c r="B91" s="75" t="inlineStr">
        <is>
          <t>2026-07-20T07:09:01Z</t>
        </is>
      </c>
      <c r="C91" s="60" t="inlineStr">
        <is>
          <t>Global</t>
        </is>
      </c>
      <c r="D91" s="60" t="inlineStr">
        <is>
          <t>Global</t>
        </is>
      </c>
      <c r="E91" s="60" t="inlineStr">
        <is>
          <t>Healthcare</t>
        </is>
      </c>
      <c r="F91" s="76" t="n">
        <v>1</v>
      </c>
      <c r="G91" s="60" t="inlineStr">
        <is>
          <t>Intergovernmental</t>
        </is>
      </c>
      <c r="H91" s="60" t="inlineStr">
        <is>
          <t>WHO News</t>
        </is>
      </c>
      <c r="I91" s="60" t="inlineStr">
        <is>
          <t>世界の交通事故死者数21%減少も、さらなる対策が必要</t>
        </is>
      </c>
      <c r="J91" s="60" t="inlineStr">
        <is>
          <t>世界保健機関（WHO）の新データによると、2011年から2025年にかけて世界の交通事故死者数は21%減少したが、依然として2025年には116万人が命を落としており、特に5〜29歳の子供や若者における交通事故は主要な死因となっている。</t>
        </is>
      </c>
      <c r="K91" s="60" t="inlineStr">
        <is>
          <t>https://www.who.int/news/item/20-07-2026-road-deaths-fall-by-21--globally-but-stronger-action-is-needed-to-save-lives</t>
        </is>
      </c>
      <c r="L91" s="60" t="inlineStr">
        <is>
          <t>05edb573a8ead16ae99b6291</t>
        </is>
      </c>
      <c r="M91" s="75" t="inlineStr">
        <is>
          <t>2026-07-26T18:56:03+09:00</t>
        </is>
      </c>
      <c r="N91" s="60" t="inlineStr">
        <is>
          <t>New</t>
        </is>
      </c>
      <c r="O91" s="60" t="inlineStr"/>
    </row>
    <row r="92" ht="42" customHeight="1">
      <c r="A92" s="75" t="inlineStr">
        <is>
          <t>2026-07-26T18:56:03+09:00</t>
        </is>
      </c>
      <c r="B92" s="75" t="inlineStr">
        <is>
          <t>2026-07-18T07:27:54Z</t>
        </is>
      </c>
      <c r="C92" s="60" t="inlineStr">
        <is>
          <t>Global</t>
        </is>
      </c>
      <c r="D92" s="60" t="inlineStr">
        <is>
          <t>Global</t>
        </is>
      </c>
      <c r="E92" s="60" t="inlineStr">
        <is>
          <t>Healthcare</t>
        </is>
      </c>
      <c r="F92" s="76" t="n">
        <v>1</v>
      </c>
      <c r="G92" s="60" t="inlineStr">
        <is>
          <t>Intergovernmental</t>
        </is>
      </c>
      <c r="H92" s="60" t="inlineStr">
        <is>
          <t>WHO News</t>
        </is>
      </c>
      <c r="I92" s="60" t="inlineStr">
        <is>
          <t>WHO加盟国、病原体アクセスと利益配分に関する交渉を継続</t>
        </is>
      </c>
      <c r="J92" s="60" t="inlineStr">
        <is>
          <t>WHO加盟国は、パンデミック協定の中心的要素である病原体アクセスと利益配分（PABS）附属書に関する交渉を進めており、将来のパンデミックに対する迅速かつ効果的で公平な対応を支える枠組みの最終化に向けたさらなる議論が必要であることに合意した。</t>
        </is>
      </c>
      <c r="K92" s="60" t="inlineStr">
        <is>
          <t>https://www.who.int/news/item/20-07-2026-who-member-states-continue-negotiations-on-the-pathogen-access-and-benefit-sharing-annex</t>
        </is>
      </c>
      <c r="L92" s="60" t="inlineStr">
        <is>
          <t>14dd15caca066d18dfcf2e34</t>
        </is>
      </c>
      <c r="M92" s="75" t="inlineStr">
        <is>
          <t>2026-07-26T18:56:03+09:00</t>
        </is>
      </c>
      <c r="N92" s="60" t="inlineStr">
        <is>
          <t>New</t>
        </is>
      </c>
      <c r="O92" s="60" t="inlineStr"/>
    </row>
    <row r="93" ht="42" customHeight="1">
      <c r="A93" s="75" t="inlineStr">
        <is>
          <t>2026-07-26T18:56:03+09:00</t>
        </is>
      </c>
      <c r="B93" s="75" t="inlineStr">
        <is>
          <t>2026-07-17T20:26:18Z</t>
        </is>
      </c>
      <c r="C93" s="60" t="inlineStr">
        <is>
          <t>United States</t>
        </is>
      </c>
      <c r="D93" s="60" t="inlineStr">
        <is>
          <t>Global</t>
        </is>
      </c>
      <c r="E93" s="60" t="inlineStr">
        <is>
          <t>Fusion Energy</t>
        </is>
      </c>
      <c r="F93" s="76" t="n">
        <v>1</v>
      </c>
      <c r="G93" s="60" t="inlineStr">
        <is>
          <t>Industry Association</t>
        </is>
      </c>
      <c r="H93" s="60" t="inlineStr">
        <is>
          <t>Fusion Industry Association</t>
        </is>
      </c>
      <c r="I93" s="60" t="inlineStr">
        <is>
          <t>FIAが2026年グローバル核融合産業レポートをニューヨーク、ワシントンD.C.、ロンドンで発表</t>
        </is>
      </c>
      <c r="J93" s="60" t="inlineStr">
        <is>
          <t>核融合産業協会（FIA）は、2026年グローバル核融合産業レポートをニューヨークで発表し、業界リーダーや投資家、メディアが集まるイベントを開催した。続いてワシントンD.C.での発表と議会ブリーフィングが行われ、報告書の内容が米国の政策文脈で議論された。</t>
        </is>
      </c>
      <c r="K93" s="60" t="inlineStr">
        <is>
          <t>https://www.fusionindustryassociation.org/fia-launches-the-2026-global-fusion-industry-report-in-new-york-city-washington-d-c-and-london/?utm_source=rss&amp;utm_medium=rss&amp;utm_campaign=fia-launches-the-2026-global-fusion-industry-report-in-new-york-city-washington-d-c-and-london</t>
        </is>
      </c>
      <c r="L93" s="60" t="inlineStr">
        <is>
          <t>186c1d4e76c09a864706432c</t>
        </is>
      </c>
      <c r="M93" s="75" t="inlineStr">
        <is>
          <t>2026-07-26T18:56:03+09:00</t>
        </is>
      </c>
      <c r="N93" s="60" t="inlineStr">
        <is>
          <t>New</t>
        </is>
      </c>
      <c r="O93" s="60" t="inlineStr"/>
    </row>
    <row r="94" ht="42" customHeight="1">
      <c r="A94" s="75" t="inlineStr">
        <is>
          <t>2026-07-26T18:56:03+09:00</t>
        </is>
      </c>
      <c r="B94" s="75" t="inlineStr">
        <is>
          <t>2026-07-17T18:42:47Z</t>
        </is>
      </c>
      <c r="C94" s="60" t="inlineStr">
        <is>
          <t>EU &amp; Europe</t>
        </is>
      </c>
      <c r="D94" s="60" t="inlineStr">
        <is>
          <t>Global</t>
        </is>
      </c>
      <c r="E94" s="60" t="inlineStr">
        <is>
          <t>Innovation Policy | Fusion Energy</t>
        </is>
      </c>
      <c r="F94" s="76" t="n">
        <v>1</v>
      </c>
      <c r="G94" s="60" t="inlineStr">
        <is>
          <t>Industry Association</t>
        </is>
      </c>
      <c r="H94" s="60" t="inlineStr">
        <is>
          <t>Fusion Industry Association</t>
        </is>
      </c>
      <c r="I94" s="60" t="inlineStr">
        <is>
          <t>EUの競争力ある核融合技術を確保する必要性に関する国際法律専門家グループの論文発表</t>
        </is>
      </c>
      <c r="J94" s="60" t="inlineStr">
        <is>
          <t>国際法律専門家グループが発表した論文は、ヨーロッパが商業核融合において競争優位性を持っているが、それを維持するためには迅速な行動が必要であると主張している。特に、ユーロトム条約が27カ国における核ガバナンスのための唯一の調和された法的枠組みであることを強調している。</t>
        </is>
      </c>
      <c r="K94" s="60" t="inlineStr">
        <is>
          <t>https://www.fusionindustryassociation.org/international-legal-expert-group-publish-paper-on-the-need-for-the-eu-to-secure-its-competitive-fusion-advantage/?utm_source=rss&amp;utm_medium=rss&amp;utm_campaign=international-legal-expert-group-publish-paper-on-the-need-for-the-eu-to-secure-its-competitive-fusion-advantage</t>
        </is>
      </c>
      <c r="L94" s="60" t="inlineStr">
        <is>
          <t>7ef6110ab078602757409abf</t>
        </is>
      </c>
      <c r="M94" s="75" t="inlineStr">
        <is>
          <t>2026-07-26T18:56:03+09:00</t>
        </is>
      </c>
      <c r="N94" s="60" t="inlineStr">
        <is>
          <t>New</t>
        </is>
      </c>
      <c r="O94" s="60" t="inlineStr"/>
    </row>
    <row r="95" ht="42" customHeight="1">
      <c r="A95" s="75" t="inlineStr">
        <is>
          <t>2026-07-26T18:56:03+09:00</t>
        </is>
      </c>
      <c r="B95" s="75" t="inlineStr">
        <is>
          <t>2026-07-17T18:00:01Z</t>
        </is>
      </c>
      <c r="C95" s="60" t="inlineStr">
        <is>
          <t>Global</t>
        </is>
      </c>
      <c r="D95" s="60" t="inlineStr">
        <is>
          <t>United States</t>
        </is>
      </c>
      <c r="E95" s="60" t="inlineStr">
        <is>
          <t>Robotics</t>
        </is>
      </c>
      <c r="F95" s="76" t="n">
        <v>0</v>
      </c>
      <c r="G95" s="60" t="inlineStr">
        <is>
          <t>Major Media</t>
        </is>
      </c>
      <c r="H95" s="60" t="inlineStr">
        <is>
          <t>IEEE Spectrum</t>
        </is>
      </c>
      <c r="I95" s="60" t="inlineStr">
        <is>
          <t>大学院生がNASAのロボットに組立スキルを装備</t>
        </is>
      </c>
      <c r="J95" s="60" t="inlineStr">
        <is>
          <t>テキサスA&amp;M大学の大学院生サラ・ダウンズが、NASAのロボットに組立スキルを与えるプロジェクトに取り組んでいます。彼女は若い頃からSTEMキャリアを目指していました。</t>
        </is>
      </c>
      <c r="K95" s="60" t="inlineStr">
        <is>
          <t>https://spectrum.ieee.org/graduate-student-nasas-robots-assembly</t>
        </is>
      </c>
      <c r="L95" s="60" t="inlineStr">
        <is>
          <t>c21b23b6ab59c7960b95be1f</t>
        </is>
      </c>
      <c r="M95" s="75" t="inlineStr">
        <is>
          <t>2026-07-26T18:56:03+09:00</t>
        </is>
      </c>
      <c r="N95" s="60" t="inlineStr">
        <is>
          <t>New</t>
        </is>
      </c>
      <c r="O95" s="60" t="inlineStr"/>
    </row>
    <row r="96" ht="42" customHeight="1">
      <c r="A96" s="75" t="inlineStr">
        <is>
          <t>2026-07-26T18:56:03+09:00</t>
        </is>
      </c>
      <c r="B96" s="75" t="inlineStr">
        <is>
          <t>2026-07-17T13:00:05Z</t>
        </is>
      </c>
      <c r="C96" s="60" t="inlineStr">
        <is>
          <t>Global</t>
        </is>
      </c>
      <c r="D96" s="60" t="inlineStr">
        <is>
          <t>United States</t>
        </is>
      </c>
      <c r="E96" s="60" t="inlineStr">
        <is>
          <t>Semiconductors &amp; Telecom | Healthcare</t>
        </is>
      </c>
      <c r="F96" s="76" t="n">
        <v>0</v>
      </c>
      <c r="G96" s="60" t="inlineStr">
        <is>
          <t>Official Company</t>
        </is>
      </c>
      <c r="H96" s="60" t="inlineStr">
        <is>
          <t>Intel Newsroom</t>
        </is>
      </c>
      <c r="I96" s="60" t="inlineStr">
        <is>
          <t>インテル搭載の医療用エクソスケルトンが患者の歩行を支援</t>
        </is>
      </c>
      <c r="J96" s="60" t="inlineStr">
        <is>
          <t>下肢の怪我を持つ患者のために、インテルが搭載した医療用エクソスケルトンが開発され、リハビリテーションの限界を克服することを目指しています。</t>
        </is>
      </c>
      <c r="K96" s="60" t="inlineStr">
        <is>
          <t>https://newsroom.intel.com/client-computing/intel-powered-medical-exoskeleton-helps-patients-get-back-on-their-feet</t>
        </is>
      </c>
      <c r="L96" s="60" t="inlineStr">
        <is>
          <t>3dd1b06b356e118627f94f8b</t>
        </is>
      </c>
      <c r="M96" s="75" t="inlineStr">
        <is>
          <t>2026-07-26T18:56:03+09:00</t>
        </is>
      </c>
      <c r="N96" s="60" t="inlineStr">
        <is>
          <t>New</t>
        </is>
      </c>
      <c r="O96" s="60" t="inlineStr"/>
    </row>
    <row r="97" ht="42" customHeight="1">
      <c r="A97" s="75" t="inlineStr">
        <is>
          <t>2026-07-26T18:56:03+09:00</t>
        </is>
      </c>
      <c r="B97" s="75" t="inlineStr">
        <is>
          <t>2026-07-16T16:00:53Z</t>
        </is>
      </c>
      <c r="C97" s="60" t="inlineStr">
        <is>
          <t>Global</t>
        </is>
      </c>
      <c r="D97" s="60" t="inlineStr">
        <is>
          <t>United States</t>
        </is>
      </c>
      <c r="E97" s="60" t="inlineStr">
        <is>
          <t>Artificial Intelligence | Semiconductors &amp; Telecom</t>
        </is>
      </c>
      <c r="F97" s="76" t="n">
        <v>0</v>
      </c>
      <c r="G97" s="60" t="inlineStr">
        <is>
          <t>Official Company</t>
        </is>
      </c>
      <c r="H97" s="60" t="inlineStr">
        <is>
          <t>Intel Newsroom</t>
        </is>
      </c>
      <c r="I97" s="60" t="inlineStr">
        <is>
          <t>インテルとGoogle CloudがAI活用の企業変革を加速するための協力を発表</t>
        </is>
      </c>
      <c r="J97" s="60" t="inlineStr">
        <is>
          <t>インテルとGoogle Cloudは、AIを活用した企業のデジタル進化を加速するための戦略的協力を拡大することを発表しました。</t>
        </is>
      </c>
      <c r="K97" s="60" t="inlineStr">
        <is>
          <t>https://newsroom.intel.com/artificial-intelligence/intel-google-cloud-announce-collaboration-to-accelerate-intel-ai-enabled-enterprise-transformation</t>
        </is>
      </c>
      <c r="L97" s="60" t="inlineStr">
        <is>
          <t>0361033c6203d3cbfc2c57cf</t>
        </is>
      </c>
      <c r="M97" s="75" t="inlineStr">
        <is>
          <t>2026-07-26T18:56:03+09:00</t>
        </is>
      </c>
      <c r="N97" s="60" t="inlineStr">
        <is>
          <t>New</t>
        </is>
      </c>
      <c r="O97" s="60" t="inlineStr"/>
    </row>
    <row r="98" ht="42" customHeight="1">
      <c r="A98" s="75" t="inlineStr">
        <is>
          <t>2026-07-26T18:56:03+09:00</t>
        </is>
      </c>
      <c r="B98" s="75" t="inlineStr">
        <is>
          <t>2026-07-16T16:00:00Z</t>
        </is>
      </c>
      <c r="C98" s="60" t="inlineStr">
        <is>
          <t>Global</t>
        </is>
      </c>
      <c r="D98" s="60" t="inlineStr">
        <is>
          <t>United States</t>
        </is>
      </c>
      <c r="E98" s="60" t="inlineStr">
        <is>
          <t>Artificial Intelligence</t>
        </is>
      </c>
      <c r="F98" s="76" t="n">
        <v>0</v>
      </c>
      <c r="G98" s="60" t="inlineStr">
        <is>
          <t>Official Company</t>
        </is>
      </c>
      <c r="H98" s="60" t="inlineStr">
        <is>
          <t>Google AI</t>
        </is>
      </c>
      <c r="I98" s="60" t="inlineStr">
        <is>
          <t>アプリを検索にもっと接続</t>
        </is>
      </c>
      <c r="J98" s="60" t="inlineStr">
        <is>
          <t>接続されたアプリのレンダリングに関する情報が提供されています。</t>
        </is>
      </c>
      <c r="K98" s="60" t="inlineStr">
        <is>
          <t>https://blog.google/products-and-platforms/products/search/connected-apps/</t>
        </is>
      </c>
      <c r="L98" s="60" t="inlineStr">
        <is>
          <t>23c6974aa4b45f04208cef57</t>
        </is>
      </c>
      <c r="M98" s="75" t="inlineStr">
        <is>
          <t>2026-07-26T18:56:03+09:00</t>
        </is>
      </c>
      <c r="N98" s="60" t="inlineStr">
        <is>
          <t>New</t>
        </is>
      </c>
      <c r="O98" s="60" t="inlineStr"/>
    </row>
    <row r="99" ht="42" customHeight="1">
      <c r="A99" s="75" t="inlineStr">
        <is>
          <t>2026-07-26T18:56:03+09:00</t>
        </is>
      </c>
      <c r="B99" s="75" t="inlineStr">
        <is>
          <t>2026-07-16T16:00:00Z</t>
        </is>
      </c>
      <c r="C99" s="60" t="inlineStr">
        <is>
          <t>Global</t>
        </is>
      </c>
      <c r="D99" s="60" t="inlineStr">
        <is>
          <t>United States</t>
        </is>
      </c>
      <c r="E99" s="60" t="inlineStr">
        <is>
          <t>Artificial Intelligence</t>
        </is>
      </c>
      <c r="F99" s="76" t="n">
        <v>0</v>
      </c>
      <c r="G99" s="60" t="inlineStr">
        <is>
          <t>Official Company</t>
        </is>
      </c>
      <c r="H99" s="60" t="inlineStr">
        <is>
          <t>Google AI</t>
        </is>
      </c>
      <c r="I99" s="60" t="inlineStr">
        <is>
          <t>Google Vidsの2つの更新で動画を作成、編集、主演</t>
        </is>
      </c>
      <c r="J99" s="60" t="inlineStr">
        <is>
          <t>Google Vidsに関する更新情報が発表され、Gemini Omniとパーソナルアバターに関する内容が紹介されています。</t>
        </is>
      </c>
      <c r="K99" s="60" t="inlineStr">
        <is>
          <t>https://blog.google/products-and-platforms/products/workspace/gemini-omni-personal-avatars/</t>
        </is>
      </c>
      <c r="L99" s="60" t="inlineStr">
        <is>
          <t>0560403cacf5a7a127ad3346</t>
        </is>
      </c>
      <c r="M99" s="75" t="inlineStr">
        <is>
          <t>2026-07-26T18:56:03+09:00</t>
        </is>
      </c>
      <c r="N99" s="60" t="inlineStr">
        <is>
          <t>New</t>
        </is>
      </c>
      <c r="O99" s="60" t="inlineStr"/>
    </row>
    <row r="100" ht="42" customHeight="1">
      <c r="A100" s="75" t="inlineStr">
        <is>
          <t>2026-07-26T18:56:03+09:00</t>
        </is>
      </c>
      <c r="B100" s="75" t="inlineStr">
        <is>
          <t>2026-07-15T21:00:00Z</t>
        </is>
      </c>
      <c r="C100" s="60" t="inlineStr">
        <is>
          <t>United States</t>
        </is>
      </c>
      <c r="D100" s="60" t="inlineStr">
        <is>
          <t>United States</t>
        </is>
      </c>
      <c r="E100" s="60" t="inlineStr">
        <is>
          <t>Artificial Intelligence | Innovation Policy</t>
        </is>
      </c>
      <c r="F100" s="76" t="n">
        <v>3</v>
      </c>
      <c r="G100" s="60" t="inlineStr">
        <is>
          <t>Policy Institute</t>
        </is>
      </c>
      <c r="H100" s="60" t="inlineStr">
        <is>
          <t>CSET</t>
        </is>
      </c>
      <c r="I100" s="60" t="inlineStr">
        <is>
          <t>GPT-Red：OpenAIが開発したLLMスーパーハッカー</t>
        </is>
      </c>
      <c r="J100" s="60" t="inlineStr">
        <is>
          <t>CSETのジェシカ・ジがMITテクノロジーレビューに寄稿した記事で、OpenAIが開発したAIスーパーハッカーGPT-Redについて解説しています。これは、大規模言語モデルの脆弱性を自動的に特定し、サイバー攻撃からの防御を強化するためのものです。</t>
        </is>
      </c>
      <c r="K100" s="60" t="inlineStr">
        <is>
          <t>https://cset.georgetown.edu/article/meet-gpt-red-an-llm-super-hacker-openai-built-to-make-its-models-safer/</t>
        </is>
      </c>
      <c r="L100" s="60" t="inlineStr">
        <is>
          <t>f64391d3daf689e78e7ac442</t>
        </is>
      </c>
      <c r="M100" s="75" t="inlineStr">
        <is>
          <t>2026-07-26T18:56:03+09:00</t>
        </is>
      </c>
      <c r="N100" s="60" t="inlineStr">
        <is>
          <t>New</t>
        </is>
      </c>
      <c r="O100" s="60" t="inlineStr"/>
    </row>
    <row r="101" ht="42" customHeight="1">
      <c r="A101" s="75" t="inlineStr">
        <is>
          <t>2026-07-26T18:56:03+09:00</t>
        </is>
      </c>
      <c r="B101" s="75" t="inlineStr">
        <is>
          <t>2026-07-15T17:47:57Z</t>
        </is>
      </c>
      <c r="C101" s="60" t="inlineStr">
        <is>
          <t>Asia</t>
        </is>
      </c>
      <c r="D101" s="60" t="inlineStr">
        <is>
          <t>Global</t>
        </is>
      </c>
      <c r="E101" s="60" t="inlineStr">
        <is>
          <t>Fusion Energy</t>
        </is>
      </c>
      <c r="F101" s="76" t="n">
        <v>0</v>
      </c>
      <c r="G101" s="60" t="inlineStr">
        <is>
          <t>Industry Association</t>
        </is>
      </c>
      <c r="H101" s="60" t="inlineStr">
        <is>
          <t>Fusion Industry Association</t>
        </is>
      </c>
      <c r="I101" s="60" t="inlineStr">
        <is>
          <t>スターロイトエンジンが60.6億円を調達</t>
        </is>
      </c>
      <c r="J101" s="60" t="inlineStr">
        <is>
          <t>スターロイトエンジンは、FASTの開発を加速するために初の外部資金調達ラウンドで60.6億円を調達しました。同社は、トカマク型の融合機を開発しています。</t>
        </is>
      </c>
      <c r="K101" s="60" t="inlineStr">
        <is>
          <t>https://www.nikkei.com/article/DGXZQOUC152ET0V10C26A7000000/#new_tab?utm_source=rss&amp;utm_medium=rss&amp;utm_campaign=starlight-engine-raises-jpy-6-06-billion</t>
        </is>
      </c>
      <c r="L101" s="60" t="inlineStr">
        <is>
          <t>2f29b005896c3737ab846738</t>
        </is>
      </c>
      <c r="M101" s="75" t="inlineStr">
        <is>
          <t>2026-07-26T18:56:03+09:00</t>
        </is>
      </c>
      <c r="N101" s="60" t="inlineStr">
        <is>
          <t>New</t>
        </is>
      </c>
      <c r="O101" s="60" t="inlineStr"/>
    </row>
    <row r="102" ht="42" customHeight="1">
      <c r="A102" s="75" t="inlineStr">
        <is>
          <t>2026-07-26T18:56:03+09:00</t>
        </is>
      </c>
      <c r="B102" s="75" t="inlineStr">
        <is>
          <t>2026-07-15T17:43:32Z</t>
        </is>
      </c>
      <c r="C102" s="60" t="inlineStr">
        <is>
          <t>Global</t>
        </is>
      </c>
      <c r="D102" s="60" t="inlineStr">
        <is>
          <t>Global</t>
        </is>
      </c>
      <c r="E102" s="60" t="inlineStr">
        <is>
          <t>Fusion Energy</t>
        </is>
      </c>
      <c r="F102" s="76" t="n">
        <v>0</v>
      </c>
      <c r="G102" s="60" t="inlineStr">
        <is>
          <t>Industry Association</t>
        </is>
      </c>
      <c r="H102" s="60" t="inlineStr">
        <is>
          <t>Fusion Industry Association</t>
        </is>
      </c>
      <c r="I102" s="60" t="inlineStr">
        <is>
          <t>マディソンに融合研究センターが設立、オスカー・マイヤー工場跡地に</t>
        </is>
      </c>
      <c r="J102" s="60" t="inlineStr">
        <is>
          <t>Realta Fusionは、ウィスコンシン州マディソンの元オスカー・マイヤー工場跡地に新しい本社と施設を設立することを発表しました。このプロジェクトは600以上の雇用を創出し、融合技術の主要な拠点を確立することが期待されています。</t>
        </is>
      </c>
      <c r="K102" s="60" t="inlineStr">
        <is>
          <t>https://www.jsonline.com/story/money/business/energy/2026/07/15/nuclear-fusion-facility-coming-to-madisons-oscar-mayer-factory-site/90900554007/?gnt-cfr=1&amp;gca-cat=p&amp;gca-uir=true&amp;gca-epti=z116463p117850l004150c117850e1157xxv116463d--54--b--54--&amp;gca-ft=178&amp;gca-ds=sophi#new_tab&amp;utm_source=rss&amp;utm_medium=rss&amp;utm_campaign=fusion-research-center-coming-to-madisons-former-oscar-mayer-plant</t>
        </is>
      </c>
      <c r="L102" s="60" t="inlineStr">
        <is>
          <t>aed2fa8a807fb17c3e6861e7</t>
        </is>
      </c>
      <c r="M102" s="75" t="inlineStr">
        <is>
          <t>2026-07-26T18:56:03+09:00</t>
        </is>
      </c>
      <c r="N102" s="60" t="inlineStr">
        <is>
          <t>New</t>
        </is>
      </c>
      <c r="O102" s="60" t="inlineStr"/>
    </row>
    <row r="103" ht="42" customHeight="1">
      <c r="A103" s="75" t="inlineStr">
        <is>
          <t>2026-07-26T18:56:03+09:00</t>
        </is>
      </c>
      <c r="B103" s="75" t="inlineStr">
        <is>
          <t>2026-07-15T12:15:58Z</t>
        </is>
      </c>
      <c r="C103" s="60" t="inlineStr">
        <is>
          <t>Global</t>
        </is>
      </c>
      <c r="D103" s="60" t="inlineStr">
        <is>
          <t>Global</t>
        </is>
      </c>
      <c r="E103" s="60" t="inlineStr">
        <is>
          <t>Healthcare</t>
        </is>
      </c>
      <c r="F103" s="76" t="n">
        <v>1</v>
      </c>
      <c r="G103" s="60" t="inlineStr">
        <is>
          <t>Intergovernmental</t>
        </is>
      </c>
      <c r="H103" s="60" t="inlineStr">
        <is>
          <t>WHO News</t>
        </is>
      </c>
      <c r="I103" s="60" t="inlineStr">
        <is>
          <t>新しいWHOガイドライン：認知症リスクの最大45%を予防または遅延可能</t>
        </is>
      </c>
      <c r="J103" s="60" t="inlineStr">
        <is>
          <t>WHOは、認知症のリスクを減少させるための新しいガイドラインを発表しました。これにより、国々は認知症の発症を予防または遅延させるための根拠に基づく推奨を得ることができます。</t>
        </is>
      </c>
      <c r="K103" s="60" t="inlineStr">
        <is>
          <t>https://www.who.int/news/item/15-07-2026-new-who-guidelines--up-to-45--of-dementia-risk-could-be-prevented-or-delayed</t>
        </is>
      </c>
      <c r="L103" s="60" t="inlineStr">
        <is>
          <t>30a0d7838c2c12642479a64f</t>
        </is>
      </c>
      <c r="M103" s="75" t="inlineStr">
        <is>
          <t>2026-07-26T18:56:03+09:00</t>
        </is>
      </c>
      <c r="N103" s="60" t="inlineStr">
        <is>
          <t>New</t>
        </is>
      </c>
      <c r="O103" s="60" t="inlineStr"/>
    </row>
    <row r="104" ht="42" customHeight="1">
      <c r="A104" s="75" t="inlineStr">
        <is>
          <t>2026-07-26T18:56:03+09:00</t>
        </is>
      </c>
      <c r="B104" s="75" t="inlineStr">
        <is>
          <t>2026-07-15T00:01:54Z</t>
        </is>
      </c>
      <c r="C104" s="60" t="inlineStr">
        <is>
          <t>Global</t>
        </is>
      </c>
      <c r="D104" s="60" t="inlineStr">
        <is>
          <t>Global</t>
        </is>
      </c>
      <c r="E104" s="60" t="inlineStr">
        <is>
          <t>Healthcare</t>
        </is>
      </c>
      <c r="F104" s="76" t="n">
        <v>1</v>
      </c>
      <c r="G104" s="60" t="inlineStr">
        <is>
          <t>Intergovernmental</t>
        </is>
      </c>
      <c r="H104" s="60" t="inlineStr">
        <is>
          <t>WHO News</t>
        </is>
      </c>
      <c r="I104" s="60" t="inlineStr">
        <is>
          <t>世界の子供の予防接種率が向上、紛争やためらいにもかかわらず</t>
        </is>
      </c>
      <c r="J104" s="60" t="inlineStr">
        <is>
          <t>2025年には、世界で90%の乳児がジフテリア、破傷風、百日咳（DTP）ワクチンの少なくとも1回の接種を受け、85%が3回の接種を完了したとWHOとUNICEFの報告が示しています。しかし、依然として2019年の水準を下回っています。</t>
        </is>
      </c>
      <c r="K104" s="60" t="inlineStr">
        <is>
          <t>https://www.who.int/news/item/15-07-2026-global-childhood-immunization-coverage-inches-forward-despite-conflict-and-hesitancy---unicef--who</t>
        </is>
      </c>
      <c r="L104" s="60" t="inlineStr">
        <is>
          <t>03ea8728394fda1e18a57d66</t>
        </is>
      </c>
      <c r="M104" s="75" t="inlineStr">
        <is>
          <t>2026-07-26T18:56:03+09:00</t>
        </is>
      </c>
      <c r="N104" s="60" t="inlineStr">
        <is>
          <t>New</t>
        </is>
      </c>
      <c r="O104" s="60" t="inlineStr"/>
    </row>
    <row r="105" ht="42" customHeight="1">
      <c r="A105" s="75" t="inlineStr">
        <is>
          <t>2026-07-26T18:56:03+09:00</t>
        </is>
      </c>
      <c r="B105" s="75" t="inlineStr">
        <is>
          <t>2026-07-14T17:40:43Z</t>
        </is>
      </c>
      <c r="C105" s="60" t="inlineStr">
        <is>
          <t>Global</t>
        </is>
      </c>
      <c r="D105" s="60" t="inlineStr">
        <is>
          <t>Global</t>
        </is>
      </c>
      <c r="E105" s="60" t="inlineStr">
        <is>
          <t>Fusion Energy</t>
        </is>
      </c>
      <c r="F105" s="76" t="n">
        <v>0</v>
      </c>
      <c r="G105" s="60" t="inlineStr">
        <is>
          <t>Industry Association</t>
        </is>
      </c>
      <c r="H105" s="60" t="inlineStr">
        <is>
          <t>Fusion Industry Association</t>
        </is>
      </c>
      <c r="I105" s="60" t="inlineStr">
        <is>
          <t>核融合企業への世界的投資が69%増加、45億ドルに達する</t>
        </is>
      </c>
      <c r="J105" s="60" t="inlineStr">
        <is>
          <t>核融合産業協会が発表した2026年の報告書によると、核融合企業への投資が記録的な水準に達し、2030年代に電力供給が期待されている。</t>
        </is>
      </c>
      <c r="K105" s="60" t="inlineStr">
        <is>
          <t>https://www.bloomberg.com/news/articles/2026-07-13/global-investment-in-fusion-companies-surges-69-to-4-5-billion#new_tab?utm_source=rss&amp;utm_medium=rss&amp;utm_campaign=global-investment-in-fusion-companies-surges-69-to-4-5-billion</t>
        </is>
      </c>
      <c r="L105" s="60" t="inlineStr">
        <is>
          <t>37f8fa9d53d7f670777b07a5</t>
        </is>
      </c>
      <c r="M105" s="75" t="inlineStr">
        <is>
          <t>2026-07-26T18:56:03+09:00</t>
        </is>
      </c>
      <c r="N105" s="60" t="inlineStr">
        <is>
          <t>New</t>
        </is>
      </c>
      <c r="O105" s="60" t="inlineStr"/>
    </row>
    <row r="106" ht="42" customHeight="1">
      <c r="A106" s="75" t="inlineStr">
        <is>
          <t>2026-07-26T18:56:03+09:00</t>
        </is>
      </c>
      <c r="B106" s="75" t="inlineStr">
        <is>
          <t>2026-07-14T17:39:28Z</t>
        </is>
      </c>
      <c r="C106" s="60" t="inlineStr">
        <is>
          <t>Global</t>
        </is>
      </c>
      <c r="D106" s="60" t="inlineStr">
        <is>
          <t>Global</t>
        </is>
      </c>
      <c r="E106" s="60" t="inlineStr">
        <is>
          <t>Fusion Energy</t>
        </is>
      </c>
      <c r="F106" s="76" t="n">
        <v>0</v>
      </c>
      <c r="G106" s="60" t="inlineStr">
        <is>
          <t>Industry Association</t>
        </is>
      </c>
      <c r="H106" s="60" t="inlineStr">
        <is>
          <t>Fusion Industry Association</t>
        </is>
      </c>
      <c r="I106" s="60" t="inlineStr">
        <is>
          <t>ジェネラルフュージョンの株価が25%上昇</t>
        </is>
      </c>
      <c r="J106" s="60" t="inlineStr">
        <is>
          <t>カナダのジェネラルフュージョンが特別目的買収会社（SPAC）との合併を完了し、公開企業となったことで資本へのアクセスが広がり、株価が上昇した。</t>
        </is>
      </c>
      <c r="K106" s="60" t="inlineStr">
        <is>
          <t>https://www.wsj.com/livecoverage/stock-market-today-bank-earnings-07-14-2026/card/general-fusion-shares-soar-25--lfmTDvoKe8UYxvdcs8Hq#new_tab?utm_source=rss&amp;utm_medium=rss&amp;utm_campaign=general-fusion-shares-soar-25</t>
        </is>
      </c>
      <c r="L106" s="60" t="inlineStr">
        <is>
          <t>4f333224cb84eee2f3fbf904</t>
        </is>
      </c>
      <c r="M106" s="75" t="inlineStr">
        <is>
          <t>2026-07-26T18:56:03+09:00</t>
        </is>
      </c>
      <c r="N106" s="60" t="inlineStr">
        <is>
          <t>New</t>
        </is>
      </c>
      <c r="O106" s="60" t="inlineStr"/>
    </row>
    <row r="107" ht="42" customHeight="1">
      <c r="A107" s="75" t="inlineStr">
        <is>
          <t>2026-07-26T18:56:03+09:00</t>
        </is>
      </c>
      <c r="B107" s="75" t="inlineStr">
        <is>
          <t>2026-07-14T16:00:00Z</t>
        </is>
      </c>
      <c r="C107" s="60" t="inlineStr">
        <is>
          <t>Global</t>
        </is>
      </c>
      <c r="D107" s="60" t="inlineStr">
        <is>
          <t>United States</t>
        </is>
      </c>
      <c r="E107" s="60" t="inlineStr">
        <is>
          <t>Artificial Intelligence</t>
        </is>
      </c>
      <c r="F107" s="76" t="n">
        <v>0</v>
      </c>
      <c r="G107" s="60" t="inlineStr">
        <is>
          <t>Official Company</t>
        </is>
      </c>
      <c r="H107" s="60" t="inlineStr">
        <is>
          <t>Google AI</t>
        </is>
      </c>
      <c r="I107" s="60" t="inlineStr">
        <is>
          <t>視覚検索の革新25周年を祝う</t>
        </is>
      </c>
      <c r="J107" s="60" t="inlineStr">
        <is>
          <t>Google Imagesが視覚検索の革新25周年を迎え、さまざまな画像検索の様子を描いたイラストが紹介されている。</t>
        </is>
      </c>
      <c r="K107" s="60" t="inlineStr">
        <is>
          <t>https://blog.google/products-and-platforms/products/search/google-images-25th-anniversary/</t>
        </is>
      </c>
      <c r="L107" s="60" t="inlineStr">
        <is>
          <t>bbfc4b37a73bf4793d60e253</t>
        </is>
      </c>
      <c r="M107" s="75" t="inlineStr">
        <is>
          <t>2026-07-26T18:56:03+09:00</t>
        </is>
      </c>
      <c r="N107" s="60" t="inlineStr">
        <is>
          <t>New</t>
        </is>
      </c>
      <c r="O107" s="60" t="inlineStr"/>
    </row>
    <row r="108" ht="42" customHeight="1">
      <c r="A108" s="75" t="inlineStr">
        <is>
          <t>2026-07-26T18:56:03+09:00</t>
        </is>
      </c>
      <c r="B108" s="75" t="inlineStr">
        <is>
          <t>2026-07-14T12:00:00Z</t>
        </is>
      </c>
      <c r="C108" s="60" t="inlineStr">
        <is>
          <t>United States</t>
        </is>
      </c>
      <c r="D108" s="60" t="inlineStr">
        <is>
          <t>United States</t>
        </is>
      </c>
      <c r="E108" s="60" t="inlineStr">
        <is>
          <t>Innovation Policy</t>
        </is>
      </c>
      <c r="F108" s="76" t="n">
        <v>4</v>
      </c>
      <c r="G108" s="60" t="inlineStr">
        <is>
          <t>Government</t>
        </is>
      </c>
      <c r="H108" s="60" t="inlineStr">
        <is>
          <t>NIST News</t>
        </is>
      </c>
      <c r="I108" s="60" t="inlineStr">
        <is>
          <t>NIST、新しい微生物除去型給湯器の特許を取得</t>
        </is>
      </c>
      <c r="J108" s="60" t="inlineStr">
        <is>
          <t>家庭の配管内の温水が有害な細菌の繁殖地となる可能性があることから、NISTが新たな給湯器の特許を取得した。</t>
        </is>
      </c>
      <c r="K108" s="60" t="inlineStr">
        <is>
          <t>https://www.nist.gov/news-events/news/2026/07/nist-receives-new-patent-microbe-killing-water-heater</t>
        </is>
      </c>
      <c r="L108" s="60" t="inlineStr">
        <is>
          <t>72b002f5a04f35d9ca1e9949</t>
        </is>
      </c>
      <c r="M108" s="75" t="inlineStr">
        <is>
          <t>2026-07-26T18:56:03+09:00</t>
        </is>
      </c>
      <c r="N108" s="60" t="inlineStr">
        <is>
          <t>New</t>
        </is>
      </c>
      <c r="O108" s="60" t="inlineStr"/>
    </row>
    <row r="109" ht="42" customHeight="1">
      <c r="A109" s="75" t="inlineStr">
        <is>
          <t>2026-07-26T18:56:03+09:00</t>
        </is>
      </c>
      <c r="B109" s="75" t="inlineStr">
        <is>
          <t>2026-07-13T21:00:00Z</t>
        </is>
      </c>
      <c r="C109" s="60" t="inlineStr">
        <is>
          <t>United States</t>
        </is>
      </c>
      <c r="D109" s="60" t="inlineStr">
        <is>
          <t>United States</t>
        </is>
      </c>
      <c r="E109" s="60" t="inlineStr">
        <is>
          <t>Innovation Policy | Artificial Intelligence</t>
        </is>
      </c>
      <c r="F109" s="76" t="n">
        <v>3</v>
      </c>
      <c r="G109" s="60" t="inlineStr">
        <is>
          <t>Policy Institute</t>
        </is>
      </c>
      <c r="H109" s="60" t="inlineStr">
        <is>
          <t>CSET</t>
        </is>
      </c>
      <c r="I109" s="60" t="inlineStr">
        <is>
          <t>ワシントン、中国が米国モデルでAIを訓練するのを防ごうとする</t>
        </is>
      </c>
      <c r="J109" s="60" t="inlineStr">
        <is>
          <t>ワシントンでは、中国のAI企業が米国のシステムの出力を用いてモデルを訓練することに対する懸念が高まっており、知的財産や国家安全保障に関する議論が進んでいる。</t>
        </is>
      </c>
      <c r="K109" s="60" t="inlineStr">
        <is>
          <t>https://cset.georgetown.edu/article/washington-is-looking-to-keep-china-from-training-its-ai-on-us-models/</t>
        </is>
      </c>
      <c r="L109" s="60" t="inlineStr">
        <is>
          <t>e96177000536ef3f58f8fb3c</t>
        </is>
      </c>
      <c r="M109" s="75" t="inlineStr">
        <is>
          <t>2026-07-26T18:56:03+09:00</t>
        </is>
      </c>
      <c r="N109" s="60" t="inlineStr">
        <is>
          <t>New</t>
        </is>
      </c>
      <c r="O109" s="60" t="inlineStr"/>
    </row>
    <row r="110" ht="42" customHeight="1">
      <c r="A110" s="75" t="inlineStr">
        <is>
          <t>2026-07-26T18:56:03+09:00</t>
        </is>
      </c>
      <c r="B110" s="75" t="inlineStr">
        <is>
          <t>2026-07-13T16:00:00Z</t>
        </is>
      </c>
      <c r="C110" s="60" t="inlineStr">
        <is>
          <t>Global</t>
        </is>
      </c>
      <c r="D110" s="60" t="inlineStr">
        <is>
          <t>United States</t>
        </is>
      </c>
      <c r="E110" s="60" t="inlineStr">
        <is>
          <t>Innovation Policy | Quantum</t>
        </is>
      </c>
      <c r="F110" s="76" t="n">
        <v>1</v>
      </c>
      <c r="G110" s="60" t="inlineStr">
        <is>
          <t>Official Company</t>
        </is>
      </c>
      <c r="H110" s="60" t="inlineStr">
        <is>
          <t>Microsoft Research</t>
        </is>
      </c>
      <c r="I110" s="60" t="inlineStr">
        <is>
          <t>SymCryptにおけるRust暗号の検証</t>
        </is>
      </c>
      <c r="J110" s="60" t="inlineStr">
        <is>
          <t>新しい手法により、開発者がコードを記述する際に暗号コードの検証が可能になり、速度と適応性を保ちながら実装が進む。</t>
        </is>
      </c>
      <c r="K110" s="60" t="inlineStr">
        <is>
          <t>https://www.microsoft.com/en-us/research/blog/verifying-rust-cryptography-in-symcrypt-from-standards-to-code/</t>
        </is>
      </c>
      <c r="L110" s="60" t="inlineStr">
        <is>
          <t>a7866758cf94a3c5e9d26534</t>
        </is>
      </c>
      <c r="M110" s="75" t="inlineStr">
        <is>
          <t>2026-07-26T18:56:03+09:00</t>
        </is>
      </c>
      <c r="N110" s="60" t="inlineStr">
        <is>
          <t>New</t>
        </is>
      </c>
      <c r="O110" s="60" t="inlineStr"/>
    </row>
    <row r="111" ht="42" customHeight="1">
      <c r="A111" s="75" t="inlineStr">
        <is>
          <t>2026-07-26T18:56:03+09:00</t>
        </is>
      </c>
      <c r="B111" s="75" t="inlineStr">
        <is>
          <t>2026-07-13T12:00:41Z</t>
        </is>
      </c>
      <c r="C111" s="60" t="inlineStr">
        <is>
          <t>Global</t>
        </is>
      </c>
      <c r="D111" s="60" t="inlineStr">
        <is>
          <t>United States</t>
        </is>
      </c>
      <c r="E111" s="60" t="inlineStr">
        <is>
          <t>Semiconductors &amp; Telecom | Artificial Intelligence</t>
        </is>
      </c>
      <c r="F111" s="76" t="n">
        <v>0</v>
      </c>
      <c r="G111" s="60" t="inlineStr">
        <is>
          <t>Official Company</t>
        </is>
      </c>
      <c r="H111" s="60" t="inlineStr">
        <is>
          <t>Intel Newsroom</t>
        </is>
      </c>
      <c r="I111" s="60" t="inlineStr">
        <is>
          <t>インテル、欧州で製造拡大のために50億ユーロを投資</t>
        </is>
      </c>
      <c r="J111" s="60" t="inlineStr">
        <is>
          <t>インテルはアイルランドのLeixlipキャンパスに50億ユーロを投資し、AIや高性能コンピューティングの需要に応えるための製造能力を拡大する。</t>
        </is>
      </c>
      <c r="K111" s="60" t="inlineStr">
        <is>
          <t>https://newsroom.intel.com/intel-foundry/intel-invests-5-billion-euro-to-expand-manufacturing-in-europe</t>
        </is>
      </c>
      <c r="L111" s="60" t="inlineStr">
        <is>
          <t>297a8b5b279e5916cf45fddb</t>
        </is>
      </c>
      <c r="M111" s="75" t="inlineStr">
        <is>
          <t>2026-07-26T18:56:03+09:00</t>
        </is>
      </c>
      <c r="N111" s="60" t="inlineStr">
        <is>
          <t>New</t>
        </is>
      </c>
      <c r="O111" s="60" t="inlineStr"/>
    </row>
    <row r="112" ht="42" customHeight="1">
      <c r="A112" s="75" t="inlineStr">
        <is>
          <t>2026-07-26T18:56:03+09:00</t>
        </is>
      </c>
      <c r="B112" s="75" t="inlineStr">
        <is>
          <t>2026-07-13T10:19:51Z</t>
        </is>
      </c>
      <c r="C112" s="60" t="inlineStr">
        <is>
          <t>Asia</t>
        </is>
      </c>
      <c r="D112" s="60" t="inlineStr">
        <is>
          <t>United States</t>
        </is>
      </c>
      <c r="E112" s="60" t="inlineStr">
        <is>
          <t>Artificial Intelligence | Robotics</t>
        </is>
      </c>
      <c r="F112" s="76" t="n">
        <v>0</v>
      </c>
      <c r="G112" s="60" t="inlineStr">
        <is>
          <t>Major Media</t>
        </is>
      </c>
      <c r="H112" s="60" t="inlineStr">
        <is>
          <t>IEEE Spectrum</t>
        </is>
      </c>
      <c r="I112" s="60" t="inlineStr">
        <is>
          <t>汎用ロボットの基盤スタック構築</t>
        </is>
      </c>
      <c r="J112" s="60" t="inlineStr">
        <is>
          <t>ロボティクス分野では、知能を持つロボットを実現するための統合スタックの必要性が議論されている。X Square Robotはこの課題に挑戦している。</t>
        </is>
      </c>
      <c r="K112" s="60" t="inlineStr">
        <is>
          <t>https://spectrum.ieee.org/x-square-robot-embodied-ai-stack</t>
        </is>
      </c>
      <c r="L112" s="60" t="inlineStr">
        <is>
          <t>d56ace988ec4655cef540679</t>
        </is>
      </c>
      <c r="M112" s="75" t="inlineStr">
        <is>
          <t>2026-07-26T18:56:03+09:00</t>
        </is>
      </c>
      <c r="N112" s="60" t="inlineStr">
        <is>
          <t>New</t>
        </is>
      </c>
      <c r="O112" s="60" t="inlineStr"/>
    </row>
    <row r="113" ht="42" customHeight="1">
      <c r="A113" s="75" t="inlineStr">
        <is>
          <t>2026-07-26T18:56:03+09:00</t>
        </is>
      </c>
      <c r="B113" s="75" t="inlineStr">
        <is>
          <t>2026-07-13T09:57:57Z</t>
        </is>
      </c>
      <c r="C113" s="60" t="inlineStr">
        <is>
          <t>Global</t>
        </is>
      </c>
      <c r="D113" s="60" t="inlineStr">
        <is>
          <t>Global</t>
        </is>
      </c>
      <c r="E113" s="60" t="inlineStr">
        <is>
          <t>Healthcare</t>
        </is>
      </c>
      <c r="F113" s="76" t="n">
        <v>1</v>
      </c>
      <c r="G113" s="60" t="inlineStr">
        <is>
          <t>Intergovernmental</t>
        </is>
      </c>
      <c r="H113" s="60" t="inlineStr">
        <is>
          <t>WHO News</t>
        </is>
      </c>
      <c r="I113" s="60" t="inlineStr">
        <is>
          <t>エルサルバドル、WHOによりトラコーマの公衆衛生問題を解消したと認定</t>
        </is>
      </c>
      <c r="J113" s="60" t="inlineStr">
        <is>
          <t>世界保健機関（WHO）は、エルサルバドルがトラコーマを公衆衛生問題として解消したと認定した。トラコーマは失明の主要な感染症である。</t>
        </is>
      </c>
      <c r="K113" s="60" t="inlineStr">
        <is>
          <t>https://www.who.int/news/item/13-07-2026-el-salvador-validated-by-who-as-having-eliminated-trachoma-as-a-public-health-problem</t>
        </is>
      </c>
      <c r="L113" s="60" t="inlineStr">
        <is>
          <t>213c7954ea56dfd0fccb556a</t>
        </is>
      </c>
      <c r="M113" s="75" t="inlineStr">
        <is>
          <t>2026-07-26T18:56:03+09:00</t>
        </is>
      </c>
      <c r="N113" s="60" t="inlineStr">
        <is>
          <t>New</t>
        </is>
      </c>
      <c r="O113" s="60" t="inlineStr"/>
    </row>
    <row r="114" ht="42" customHeight="1">
      <c r="A114" s="75" t="inlineStr">
        <is>
          <t>2026-07-26T18:56:03+09:00</t>
        </is>
      </c>
      <c r="B114" s="75" t="inlineStr">
        <is>
          <t>2026-07-12T21:00:00Z</t>
        </is>
      </c>
      <c r="C114" s="60" t="inlineStr">
        <is>
          <t>Asia</t>
        </is>
      </c>
      <c r="D114" s="60" t="inlineStr">
        <is>
          <t>United States</t>
        </is>
      </c>
      <c r="E114" s="60" t="inlineStr">
        <is>
          <t>Artificial Intelligence | Innovation Policy</t>
        </is>
      </c>
      <c r="F114" s="76" t="n">
        <v>3</v>
      </c>
      <c r="G114" s="60" t="inlineStr">
        <is>
          <t>Policy Institute</t>
        </is>
      </c>
      <c r="H114" s="60" t="inlineStr">
        <is>
          <t>CSET</t>
        </is>
      </c>
      <c r="I114" s="60" t="inlineStr">
        <is>
          <t>企業がコスト削減のために中国のAIモデルに注目</t>
        </is>
      </c>
      <c r="J114" s="60" t="inlineStr">
        <is>
          <t>企業がコスト削減を目的に、中国のAIモデルを採用する動きが広がっている。低コストや能力向上、オープンウェイトシステムの柔軟性が要因とされる。</t>
        </is>
      </c>
      <c r="K114" s="60" t="inlineStr">
        <is>
          <t>https://cset.georgetown.edu/article/companies-turn-to-chinese-ai-models-to-cut-costs/</t>
        </is>
      </c>
      <c r="L114" s="60" t="inlineStr">
        <is>
          <t>9e1bc06c29b61bed048d4f44</t>
        </is>
      </c>
      <c r="M114" s="75" t="inlineStr">
        <is>
          <t>2026-07-26T18:56:03+09:00</t>
        </is>
      </c>
      <c r="N114" s="60" t="inlineStr">
        <is>
          <t>New</t>
        </is>
      </c>
      <c r="O114" s="60" t="inlineStr"/>
    </row>
  </sheetData>
  <autoFilter ref="A3:O114"/>
  <mergeCells count="2">
    <mergeCell ref="A1:O1"/>
    <mergeCell ref="A2:O2"/>
  </mergeCells>
  <conditionalFormatting sqref="F4">
    <cfRule type="colorScale" priority="1">
      <colorScale>
        <cfvo type="min"/>
        <cfvo type="percentile" val="50"/>
        <cfvo type="max"/>
        <color rgb="FFEEF2F4"/>
        <color rgb="FFF7ECD4"/>
        <color rgb="FFF6C9C9"/>
      </colorScale>
    </cfRule>
  </conditionalFormatting>
  <dataValidations count="1">
    <dataValidation sqref="N4:N114" showDropDown="0" showInputMessage="0" showErrorMessage="0" allowBlank="0" type="list">
      <formula1>"New,Reviewed,Follow-up,Archived"</formula1>
    </dataValidation>
  </dataValidations>
  <hyperlinks>
    <hyperlink xmlns:r="http://schemas.openxmlformats.org/officeDocument/2006/relationships" ref="K4" r:id="rId1"/>
    <hyperlink xmlns:r="http://schemas.openxmlformats.org/officeDocument/2006/relationships" ref="K5" r:id="rId2"/>
    <hyperlink xmlns:r="http://schemas.openxmlformats.org/officeDocument/2006/relationships" ref="K6" r:id="rId3"/>
    <hyperlink xmlns:r="http://schemas.openxmlformats.org/officeDocument/2006/relationships" ref="K7" r:id="rId4"/>
    <hyperlink xmlns:r="http://schemas.openxmlformats.org/officeDocument/2006/relationships" ref="K8" r:id="rId5"/>
    <hyperlink xmlns:r="http://schemas.openxmlformats.org/officeDocument/2006/relationships" ref="K9" r:id="rId6"/>
    <hyperlink xmlns:r="http://schemas.openxmlformats.org/officeDocument/2006/relationships" ref="K10" r:id="rId7"/>
    <hyperlink xmlns:r="http://schemas.openxmlformats.org/officeDocument/2006/relationships" ref="K11" r:id="rId8"/>
    <hyperlink xmlns:r="http://schemas.openxmlformats.org/officeDocument/2006/relationships" ref="K12" r:id="rId9"/>
    <hyperlink xmlns:r="http://schemas.openxmlformats.org/officeDocument/2006/relationships" ref="K13" r:id="rId10"/>
    <hyperlink xmlns:r="http://schemas.openxmlformats.org/officeDocument/2006/relationships" ref="K14" r:id="rId11"/>
    <hyperlink xmlns:r="http://schemas.openxmlformats.org/officeDocument/2006/relationships" ref="K15" r:id="rId12"/>
    <hyperlink xmlns:r="http://schemas.openxmlformats.org/officeDocument/2006/relationships" ref="K16" r:id="rId13"/>
    <hyperlink xmlns:r="http://schemas.openxmlformats.org/officeDocument/2006/relationships" ref="K17" r:id="rId14"/>
    <hyperlink xmlns:r="http://schemas.openxmlformats.org/officeDocument/2006/relationships" ref="K18" r:id="rId15"/>
    <hyperlink xmlns:r="http://schemas.openxmlformats.org/officeDocument/2006/relationships" ref="K19" r:id="rId16"/>
    <hyperlink xmlns:r="http://schemas.openxmlformats.org/officeDocument/2006/relationships" ref="K20" r:id="rId17"/>
    <hyperlink xmlns:r="http://schemas.openxmlformats.org/officeDocument/2006/relationships" ref="K21" r:id="rId18"/>
    <hyperlink xmlns:r="http://schemas.openxmlformats.org/officeDocument/2006/relationships" ref="K22" r:id="rId19"/>
    <hyperlink xmlns:r="http://schemas.openxmlformats.org/officeDocument/2006/relationships" ref="K23" r:id="rId20"/>
    <hyperlink xmlns:r="http://schemas.openxmlformats.org/officeDocument/2006/relationships" ref="K24" r:id="rId21"/>
    <hyperlink xmlns:r="http://schemas.openxmlformats.org/officeDocument/2006/relationships" ref="K25" r:id="rId22"/>
    <hyperlink xmlns:r="http://schemas.openxmlformats.org/officeDocument/2006/relationships" ref="K26" r:id="rId23"/>
    <hyperlink xmlns:r="http://schemas.openxmlformats.org/officeDocument/2006/relationships" ref="K27" r:id="rId24"/>
    <hyperlink xmlns:r="http://schemas.openxmlformats.org/officeDocument/2006/relationships" ref="K28" r:id="rId25"/>
    <hyperlink xmlns:r="http://schemas.openxmlformats.org/officeDocument/2006/relationships" ref="K29" r:id="rId26"/>
    <hyperlink xmlns:r="http://schemas.openxmlformats.org/officeDocument/2006/relationships" ref="K30" r:id="rId27"/>
    <hyperlink xmlns:r="http://schemas.openxmlformats.org/officeDocument/2006/relationships" ref="K31" r:id="rId28"/>
    <hyperlink xmlns:r="http://schemas.openxmlformats.org/officeDocument/2006/relationships" ref="K32" r:id="rId29"/>
    <hyperlink xmlns:r="http://schemas.openxmlformats.org/officeDocument/2006/relationships" ref="K33" r:id="rId30"/>
    <hyperlink xmlns:r="http://schemas.openxmlformats.org/officeDocument/2006/relationships" ref="K34" r:id="rId31"/>
    <hyperlink xmlns:r="http://schemas.openxmlformats.org/officeDocument/2006/relationships" ref="K35" r:id="rId32"/>
    <hyperlink xmlns:r="http://schemas.openxmlformats.org/officeDocument/2006/relationships" ref="K36" r:id="rId33"/>
    <hyperlink xmlns:r="http://schemas.openxmlformats.org/officeDocument/2006/relationships" ref="K37" r:id="rId34"/>
    <hyperlink xmlns:r="http://schemas.openxmlformats.org/officeDocument/2006/relationships" ref="K38" r:id="rId35"/>
    <hyperlink xmlns:r="http://schemas.openxmlformats.org/officeDocument/2006/relationships" ref="K39" r:id="rId36"/>
    <hyperlink xmlns:r="http://schemas.openxmlformats.org/officeDocument/2006/relationships" ref="K40" r:id="rId37"/>
    <hyperlink xmlns:r="http://schemas.openxmlformats.org/officeDocument/2006/relationships" ref="K41" r:id="rId38"/>
    <hyperlink xmlns:r="http://schemas.openxmlformats.org/officeDocument/2006/relationships" ref="K42" r:id="rId39"/>
    <hyperlink xmlns:r="http://schemas.openxmlformats.org/officeDocument/2006/relationships" ref="K43" r:id="rId40"/>
    <hyperlink xmlns:r="http://schemas.openxmlformats.org/officeDocument/2006/relationships" ref="K44" r:id="rId41"/>
    <hyperlink xmlns:r="http://schemas.openxmlformats.org/officeDocument/2006/relationships" ref="K45" r:id="rId42"/>
    <hyperlink xmlns:r="http://schemas.openxmlformats.org/officeDocument/2006/relationships" ref="K46" r:id="rId43"/>
    <hyperlink xmlns:r="http://schemas.openxmlformats.org/officeDocument/2006/relationships" ref="K47" r:id="rId44"/>
    <hyperlink xmlns:r="http://schemas.openxmlformats.org/officeDocument/2006/relationships" ref="K48" r:id="rId45"/>
    <hyperlink xmlns:r="http://schemas.openxmlformats.org/officeDocument/2006/relationships" ref="K49" r:id="rId46"/>
    <hyperlink xmlns:r="http://schemas.openxmlformats.org/officeDocument/2006/relationships" ref="K50" r:id="rId47"/>
    <hyperlink xmlns:r="http://schemas.openxmlformats.org/officeDocument/2006/relationships" ref="K51" r:id="rId48"/>
    <hyperlink xmlns:r="http://schemas.openxmlformats.org/officeDocument/2006/relationships" ref="K52" r:id="rId49"/>
    <hyperlink xmlns:r="http://schemas.openxmlformats.org/officeDocument/2006/relationships" ref="K53" r:id="rId50"/>
    <hyperlink xmlns:r="http://schemas.openxmlformats.org/officeDocument/2006/relationships" ref="K54" r:id="rId51"/>
    <hyperlink xmlns:r="http://schemas.openxmlformats.org/officeDocument/2006/relationships" ref="K55" r:id="rId52"/>
    <hyperlink xmlns:r="http://schemas.openxmlformats.org/officeDocument/2006/relationships" ref="K56" r:id="rId53"/>
    <hyperlink xmlns:r="http://schemas.openxmlformats.org/officeDocument/2006/relationships" ref="K57" r:id="rId54"/>
    <hyperlink xmlns:r="http://schemas.openxmlformats.org/officeDocument/2006/relationships" ref="K58" r:id="rId55"/>
    <hyperlink xmlns:r="http://schemas.openxmlformats.org/officeDocument/2006/relationships" ref="K59" r:id="rId56"/>
    <hyperlink xmlns:r="http://schemas.openxmlformats.org/officeDocument/2006/relationships" ref="K60" r:id="rId57"/>
    <hyperlink xmlns:r="http://schemas.openxmlformats.org/officeDocument/2006/relationships" ref="K61" r:id="rId58"/>
    <hyperlink xmlns:r="http://schemas.openxmlformats.org/officeDocument/2006/relationships" ref="K62" r:id="rId59"/>
    <hyperlink xmlns:r="http://schemas.openxmlformats.org/officeDocument/2006/relationships" ref="K63" r:id="rId60"/>
    <hyperlink xmlns:r="http://schemas.openxmlformats.org/officeDocument/2006/relationships" ref="K64" r:id="rId61"/>
    <hyperlink xmlns:r="http://schemas.openxmlformats.org/officeDocument/2006/relationships" ref="K65" r:id="rId62"/>
    <hyperlink xmlns:r="http://schemas.openxmlformats.org/officeDocument/2006/relationships" ref="K66" r:id="rId63"/>
    <hyperlink xmlns:r="http://schemas.openxmlformats.org/officeDocument/2006/relationships" ref="K67" r:id="rId64"/>
    <hyperlink xmlns:r="http://schemas.openxmlformats.org/officeDocument/2006/relationships" ref="K68" r:id="rId65"/>
    <hyperlink xmlns:r="http://schemas.openxmlformats.org/officeDocument/2006/relationships" ref="K69" r:id="rId66"/>
    <hyperlink xmlns:r="http://schemas.openxmlformats.org/officeDocument/2006/relationships" ref="K70" r:id="rId67"/>
    <hyperlink xmlns:r="http://schemas.openxmlformats.org/officeDocument/2006/relationships" ref="K71" r:id="rId68"/>
    <hyperlink xmlns:r="http://schemas.openxmlformats.org/officeDocument/2006/relationships" ref="K72" r:id="rId69"/>
    <hyperlink xmlns:r="http://schemas.openxmlformats.org/officeDocument/2006/relationships" ref="K73" r:id="rId70"/>
    <hyperlink xmlns:r="http://schemas.openxmlformats.org/officeDocument/2006/relationships" ref="K74" r:id="rId71"/>
    <hyperlink xmlns:r="http://schemas.openxmlformats.org/officeDocument/2006/relationships" ref="K75" r:id="rId72"/>
    <hyperlink xmlns:r="http://schemas.openxmlformats.org/officeDocument/2006/relationships" ref="K76" r:id="rId73"/>
    <hyperlink xmlns:r="http://schemas.openxmlformats.org/officeDocument/2006/relationships" ref="K77" r:id="rId74"/>
    <hyperlink xmlns:r="http://schemas.openxmlformats.org/officeDocument/2006/relationships" ref="K78" r:id="rId75"/>
    <hyperlink xmlns:r="http://schemas.openxmlformats.org/officeDocument/2006/relationships" ref="K79" r:id="rId76"/>
    <hyperlink xmlns:r="http://schemas.openxmlformats.org/officeDocument/2006/relationships" ref="K80" r:id="rId77"/>
    <hyperlink xmlns:r="http://schemas.openxmlformats.org/officeDocument/2006/relationships" ref="K81" r:id="rId78"/>
    <hyperlink xmlns:r="http://schemas.openxmlformats.org/officeDocument/2006/relationships" ref="K82" r:id="rId79"/>
    <hyperlink xmlns:r="http://schemas.openxmlformats.org/officeDocument/2006/relationships" ref="K83" r:id="rId80"/>
    <hyperlink xmlns:r="http://schemas.openxmlformats.org/officeDocument/2006/relationships" ref="K84" r:id="rId81"/>
    <hyperlink xmlns:r="http://schemas.openxmlformats.org/officeDocument/2006/relationships" ref="K85" r:id="rId82"/>
    <hyperlink xmlns:r="http://schemas.openxmlformats.org/officeDocument/2006/relationships" ref="K86" r:id="rId83"/>
    <hyperlink xmlns:r="http://schemas.openxmlformats.org/officeDocument/2006/relationships" ref="K87" r:id="rId84"/>
    <hyperlink xmlns:r="http://schemas.openxmlformats.org/officeDocument/2006/relationships" ref="K88" r:id="rId85"/>
    <hyperlink xmlns:r="http://schemas.openxmlformats.org/officeDocument/2006/relationships" ref="K89" r:id="rId86"/>
    <hyperlink xmlns:r="http://schemas.openxmlformats.org/officeDocument/2006/relationships" ref="K90" r:id="rId87"/>
    <hyperlink xmlns:r="http://schemas.openxmlformats.org/officeDocument/2006/relationships" ref="K91" r:id="rId88"/>
    <hyperlink xmlns:r="http://schemas.openxmlformats.org/officeDocument/2006/relationships" ref="K92" r:id="rId89"/>
    <hyperlink xmlns:r="http://schemas.openxmlformats.org/officeDocument/2006/relationships" ref="K93" r:id="rId90"/>
    <hyperlink xmlns:r="http://schemas.openxmlformats.org/officeDocument/2006/relationships" ref="K94" r:id="rId91"/>
    <hyperlink xmlns:r="http://schemas.openxmlformats.org/officeDocument/2006/relationships" ref="K95" r:id="rId92"/>
    <hyperlink xmlns:r="http://schemas.openxmlformats.org/officeDocument/2006/relationships" ref="K96" r:id="rId93"/>
    <hyperlink xmlns:r="http://schemas.openxmlformats.org/officeDocument/2006/relationships" ref="K97" r:id="rId94"/>
    <hyperlink xmlns:r="http://schemas.openxmlformats.org/officeDocument/2006/relationships" ref="K98" r:id="rId95"/>
    <hyperlink xmlns:r="http://schemas.openxmlformats.org/officeDocument/2006/relationships" ref="K99" r:id="rId96"/>
    <hyperlink xmlns:r="http://schemas.openxmlformats.org/officeDocument/2006/relationships" ref="K100" r:id="rId97"/>
    <hyperlink xmlns:r="http://schemas.openxmlformats.org/officeDocument/2006/relationships" ref="K101" r:id="rId98"/>
    <hyperlink xmlns:r="http://schemas.openxmlformats.org/officeDocument/2006/relationships" ref="K102" r:id="rId99"/>
    <hyperlink xmlns:r="http://schemas.openxmlformats.org/officeDocument/2006/relationships" ref="K103" r:id="rId100"/>
    <hyperlink xmlns:r="http://schemas.openxmlformats.org/officeDocument/2006/relationships" ref="K104" r:id="rId101"/>
    <hyperlink xmlns:r="http://schemas.openxmlformats.org/officeDocument/2006/relationships" ref="K105" r:id="rId102"/>
    <hyperlink xmlns:r="http://schemas.openxmlformats.org/officeDocument/2006/relationships" ref="K106" r:id="rId103"/>
    <hyperlink xmlns:r="http://schemas.openxmlformats.org/officeDocument/2006/relationships" ref="K107" r:id="rId104"/>
    <hyperlink xmlns:r="http://schemas.openxmlformats.org/officeDocument/2006/relationships" ref="K108" r:id="rId105"/>
    <hyperlink xmlns:r="http://schemas.openxmlformats.org/officeDocument/2006/relationships" ref="K109" r:id="rId106"/>
    <hyperlink xmlns:r="http://schemas.openxmlformats.org/officeDocument/2006/relationships" ref="K110" r:id="rId107"/>
    <hyperlink xmlns:r="http://schemas.openxmlformats.org/officeDocument/2006/relationships" ref="K111" r:id="rId108"/>
    <hyperlink xmlns:r="http://schemas.openxmlformats.org/officeDocument/2006/relationships" ref="K112" r:id="rId109"/>
    <hyperlink xmlns:r="http://schemas.openxmlformats.org/officeDocument/2006/relationships" ref="K113" r:id="rId110"/>
    <hyperlink xmlns:r="http://schemas.openxmlformats.org/officeDocument/2006/relationships" ref="K114" r:id="rId111"/>
  </hyperlinks>
  <pageMargins left="0.7" right="0.7" top="0.75" bottom="0.75" header="0.3" footer="0.3"/>
  <tableParts count="1">
    <tablePart xmlns:r="http://schemas.openxmlformats.org/officeDocument/2006/relationships" r:id="rId112"/>
  </tableParts>
</worksheet>
</file>

<file path=xl/worksheets/sheet3.xml><?xml version="1.0" encoding="utf-8"?>
<worksheet xmlns="http://schemas.openxmlformats.org/spreadsheetml/2006/main">
  <sheetPr>
    <outlinePr summaryBelow="1" summaryRight="1"/>
    <pageSetUpPr/>
  </sheetPr>
  <dimension ref="A1:K37"/>
  <sheetViews>
    <sheetView showGridLines="0" workbookViewId="0">
      <selection activeCell="A1" sqref="A1"/>
    </sheetView>
  </sheetViews>
  <sheetFormatPr baseColWidth="8" defaultRowHeight="15"/>
  <cols>
    <col width="10" customWidth="1" min="1" max="1"/>
    <col width="18" customWidth="1" min="2" max="2"/>
    <col width="20" customWidth="1" min="3" max="3"/>
    <col width="30" customWidth="1" min="4" max="4"/>
    <col width="30" customWidth="1" min="5" max="5"/>
    <col width="34" customWidth="1" min="6" max="6"/>
    <col width="58" customWidth="1" min="7" max="7"/>
    <col width="48" customWidth="1" min="8" max="8"/>
    <col width="10" customWidth="1" min="9" max="9"/>
    <col width="13" customWidth="1" min="10" max="10"/>
    <col width="56" customWidth="1" min="11" max="11"/>
  </cols>
  <sheetData>
    <row r="1" ht="34" customHeight="1">
      <c r="A1" s="4" t="inlineStr">
        <is>
          <t>Source Registry</t>
        </is>
      </c>
    </row>
    <row r="2" ht="25" customHeight="1">
      <c r="A2" s="67" t="inlineStr">
        <is>
          <t>Allowlist: government, official companies, major media, policy institutes, and leading journals</t>
        </is>
      </c>
      <c r="B2" s="68" t="n"/>
      <c r="C2" s="68" t="n"/>
      <c r="D2" s="68" t="n"/>
      <c r="E2" s="68" t="n"/>
      <c r="F2" s="68" t="n"/>
      <c r="G2" s="68" t="n"/>
      <c r="H2" s="68" t="n"/>
      <c r="I2" s="68" t="n"/>
      <c r="J2" s="68" t="n"/>
      <c r="K2" s="69" t="n"/>
    </row>
    <row r="3" ht="31" customHeight="1">
      <c r="A3" s="57" t="inlineStr">
        <is>
          <t>Active</t>
        </is>
      </c>
      <c r="B3" s="58" t="inlineStr">
        <is>
          <t>Region</t>
        </is>
      </c>
      <c r="C3" s="58" t="inlineStr">
        <is>
          <t>Country / Area</t>
        </is>
      </c>
      <c r="D3" s="58" t="inlineStr">
        <is>
          <t>Category</t>
        </is>
      </c>
      <c r="E3" s="58" t="inlineStr">
        <is>
          <t>Source</t>
        </is>
      </c>
      <c r="F3" s="58" t="inlineStr">
        <is>
          <t>Organization</t>
        </is>
      </c>
      <c r="G3" s="58" t="inlineStr">
        <is>
          <t>Feed URL</t>
        </is>
      </c>
      <c r="H3" s="58" t="inlineStr">
        <is>
          <t>Homepage</t>
        </is>
      </c>
      <c r="I3" s="58" t="inlineStr">
        <is>
          <t>Priority</t>
        </is>
      </c>
      <c r="J3" s="58" t="inlineStr">
        <is>
          <t>Native Feed</t>
        </is>
      </c>
      <c r="K3" s="59" t="inlineStr">
        <is>
          <t>Notes</t>
        </is>
      </c>
    </row>
    <row r="4" ht="36" customHeight="1">
      <c r="A4" s="60" t="inlineStr">
        <is>
          <t>Yes</t>
        </is>
      </c>
      <c r="B4" s="60" t="inlineStr">
        <is>
          <t>Global</t>
        </is>
      </c>
      <c r="C4" s="60" t="inlineStr">
        <is>
          <t>Global</t>
        </is>
      </c>
      <c r="D4" s="60" t="inlineStr">
        <is>
          <t>Technology and policy</t>
        </is>
      </c>
      <c r="E4" s="60" t="inlineStr">
        <is>
          <t>Bloomberg Technology</t>
        </is>
      </c>
      <c r="F4" s="60" t="inlineStr">
        <is>
          <t>Bloomberg</t>
        </is>
      </c>
      <c r="G4" s="60" t="inlineStr">
        <is>
          <t>https://www.bloomberg.com/feeds/technology/news.rss</t>
        </is>
      </c>
      <c r="H4" s="60" t="inlineStr">
        <is>
          <t>https://www.bloomberg.com/technology</t>
        </is>
      </c>
      <c r="I4" s="76" t="n">
        <v>5</v>
      </c>
      <c r="J4" s="60" t="inlineStr">
        <is>
          <t>Yes</t>
        </is>
      </c>
      <c r="K4" s="60" t="inlineStr">
        <is>
          <t>Established global business and policy news.</t>
        </is>
      </c>
    </row>
    <row r="5" ht="36" customHeight="1">
      <c r="A5" s="60" t="inlineStr">
        <is>
          <t>Yes</t>
        </is>
      </c>
      <c r="B5" s="60" t="inlineStr">
        <is>
          <t>Global</t>
        </is>
      </c>
      <c r="C5" s="60" t="inlineStr">
        <is>
          <t>United Kingdom</t>
        </is>
      </c>
      <c r="D5" s="60" t="inlineStr">
        <is>
          <t>Science and environment</t>
        </is>
      </c>
      <c r="E5" s="60" t="inlineStr">
        <is>
          <t>BBC Science &amp; Environment</t>
        </is>
      </c>
      <c r="F5" s="60" t="inlineStr">
        <is>
          <t>BBC</t>
        </is>
      </c>
      <c r="G5" s="60" t="inlineStr">
        <is>
          <t>https://feeds.bbci.co.uk/news/science_and_environment/rss.xml</t>
        </is>
      </c>
      <c r="H5" s="60" t="inlineStr">
        <is>
          <t>https://www.bbc.com/news/science_and_environment</t>
        </is>
      </c>
      <c r="I5" s="76" t="n">
        <v>4</v>
      </c>
      <c r="J5" s="60" t="inlineStr">
        <is>
          <t>Yes</t>
        </is>
      </c>
      <c r="K5" s="60" t="inlineStr">
        <is>
          <t>Broad science coverage; topic filter is applied.</t>
        </is>
      </c>
    </row>
    <row r="6" ht="36" customHeight="1">
      <c r="A6" s="60" t="inlineStr">
        <is>
          <t>Yes</t>
        </is>
      </c>
      <c r="B6" s="60" t="inlineStr">
        <is>
          <t>Global</t>
        </is>
      </c>
      <c r="C6" s="60" t="inlineStr">
        <is>
          <t>United Kingdom</t>
        </is>
      </c>
      <c r="D6" s="60" t="inlineStr">
        <is>
          <t>Technology</t>
        </is>
      </c>
      <c r="E6" s="60" t="inlineStr">
        <is>
          <t>The Guardian Technology</t>
        </is>
      </c>
      <c r="F6" s="60" t="inlineStr">
        <is>
          <t>Guardian News &amp; Media</t>
        </is>
      </c>
      <c r="G6" s="60" t="inlineStr">
        <is>
          <t>https://www.theguardian.com/technology/rss</t>
        </is>
      </c>
      <c r="H6" s="60" t="inlineStr">
        <is>
          <t>https://www.theguardian.com/technology</t>
        </is>
      </c>
      <c r="I6" s="76" t="n">
        <v>3</v>
      </c>
      <c r="J6" s="60" t="inlineStr">
        <is>
          <t>Yes</t>
        </is>
      </c>
      <c r="K6" s="60" t="inlineStr">
        <is>
          <t>Major media; strict topic filter is applied.</t>
        </is>
      </c>
    </row>
    <row r="7" ht="36" customHeight="1">
      <c r="A7" s="60" t="inlineStr">
        <is>
          <t>Yes</t>
        </is>
      </c>
      <c r="B7" s="60" t="inlineStr">
        <is>
          <t>Global</t>
        </is>
      </c>
      <c r="C7" s="60" t="inlineStr">
        <is>
          <t>United States</t>
        </is>
      </c>
      <c r="D7" s="60" t="inlineStr">
        <is>
          <t>Emerging technology</t>
        </is>
      </c>
      <c r="E7" s="60" t="inlineStr">
        <is>
          <t>MIT Technology Review</t>
        </is>
      </c>
      <c r="F7" s="60" t="inlineStr">
        <is>
          <t>MIT Technology Review</t>
        </is>
      </c>
      <c r="G7" s="60" t="inlineStr">
        <is>
          <t>https://www.technologyreview.com/feed/</t>
        </is>
      </c>
      <c r="H7" s="60" t="inlineStr">
        <is>
          <t>https://www.technologyreview.com/</t>
        </is>
      </c>
      <c r="I7" s="76" t="n">
        <v>4</v>
      </c>
      <c r="J7" s="60" t="inlineStr">
        <is>
          <t>Yes</t>
        </is>
      </c>
      <c r="K7" s="60" t="inlineStr">
        <is>
          <t>Established specialist publication.</t>
        </is>
      </c>
    </row>
    <row r="8" ht="36" customHeight="1">
      <c r="A8" s="60" t="inlineStr">
        <is>
          <t>Yes</t>
        </is>
      </c>
      <c r="B8" s="60" t="inlineStr">
        <is>
          <t>Global</t>
        </is>
      </c>
      <c r="C8" s="60" t="inlineStr">
        <is>
          <t>United States</t>
        </is>
      </c>
      <c r="D8" s="60" t="inlineStr">
        <is>
          <t>Engineering and technology</t>
        </is>
      </c>
      <c r="E8" s="60" t="inlineStr">
        <is>
          <t>IEEE Spectrum</t>
        </is>
      </c>
      <c r="F8" s="60" t="inlineStr">
        <is>
          <t>IEEE</t>
        </is>
      </c>
      <c r="G8" s="60" t="inlineStr">
        <is>
          <t>https://spectrum.ieee.org/feeds/feed.rss</t>
        </is>
      </c>
      <c r="H8" s="60" t="inlineStr">
        <is>
          <t>https://spectrum.ieee.org/</t>
        </is>
      </c>
      <c r="I8" s="76" t="n">
        <v>4</v>
      </c>
      <c r="J8" s="60" t="inlineStr">
        <is>
          <t>Yes</t>
        </is>
      </c>
      <c r="K8" s="60" t="inlineStr">
        <is>
          <t>IEEE editorial publication.</t>
        </is>
      </c>
    </row>
    <row r="9" ht="36" customHeight="1">
      <c r="A9" s="60" t="inlineStr">
        <is>
          <t>Yes</t>
        </is>
      </c>
      <c r="B9" s="60" t="inlineStr">
        <is>
          <t>Global</t>
        </is>
      </c>
      <c r="C9" s="60" t="inlineStr">
        <is>
          <t>Global</t>
        </is>
      </c>
      <c r="D9" s="60" t="inlineStr">
        <is>
          <t>Science</t>
        </is>
      </c>
      <c r="E9" s="60" t="inlineStr">
        <is>
          <t>Nature</t>
        </is>
      </c>
      <c r="F9" s="60" t="inlineStr">
        <is>
          <t>Springer Nature</t>
        </is>
      </c>
      <c r="G9" s="60" t="inlineStr">
        <is>
          <t>https://www.nature.com/nature.rss</t>
        </is>
      </c>
      <c r="H9" s="60" t="inlineStr">
        <is>
          <t>https://www.nature.com/</t>
        </is>
      </c>
      <c r="I9" s="76" t="n">
        <v>4</v>
      </c>
      <c r="J9" s="60" t="inlineStr">
        <is>
          <t>Yes</t>
        </is>
      </c>
      <c r="K9" s="60" t="inlineStr">
        <is>
          <t>Leading scientific publication; innovation-topic filter is applied.</t>
        </is>
      </c>
    </row>
    <row r="10" ht="36" customHeight="1">
      <c r="A10" s="60" t="inlineStr">
        <is>
          <t>Yes</t>
        </is>
      </c>
      <c r="B10" s="60" t="inlineStr">
        <is>
          <t>Global</t>
        </is>
      </c>
      <c r="C10" s="60" t="inlineStr">
        <is>
          <t>United States</t>
        </is>
      </c>
      <c r="D10" s="60" t="inlineStr">
        <is>
          <t>Science</t>
        </is>
      </c>
      <c r="E10" s="60" t="inlineStr">
        <is>
          <t>Science</t>
        </is>
      </c>
      <c r="F10" s="60" t="inlineStr">
        <is>
          <t>AAAS</t>
        </is>
      </c>
      <c r="G10" s="60" t="inlineStr">
        <is>
          <t>https://www.science.org/action/showFeed?type=etoc&amp;feed=rss&amp;jc=science</t>
        </is>
      </c>
      <c r="H10" s="60" t="inlineStr">
        <is>
          <t>https://www.science.org/</t>
        </is>
      </c>
      <c r="I10" s="76" t="n">
        <v>4</v>
      </c>
      <c r="J10" s="60" t="inlineStr">
        <is>
          <t>Yes</t>
        </is>
      </c>
      <c r="K10" s="60" t="inlineStr">
        <is>
          <t>Leading scientific publication; the publisher may rate-limit automated access.</t>
        </is>
      </c>
    </row>
    <row r="11" ht="36" customHeight="1">
      <c r="A11" s="60" t="inlineStr">
        <is>
          <t>Yes</t>
        </is>
      </c>
      <c r="B11" s="60" t="inlineStr">
        <is>
          <t>Asia</t>
        </is>
      </c>
      <c r="C11" s="60" t="inlineStr">
        <is>
          <t>Hong Kong</t>
        </is>
      </c>
      <c r="D11" s="60" t="inlineStr">
        <is>
          <t>Technology</t>
        </is>
      </c>
      <c r="E11" s="60" t="inlineStr">
        <is>
          <t>South China Morning Post Technology</t>
        </is>
      </c>
      <c r="F11" s="60" t="inlineStr">
        <is>
          <t>South China Morning Post</t>
        </is>
      </c>
      <c r="G11" s="60" t="inlineStr">
        <is>
          <t>https://www.scmp.com/rss/91/feed</t>
        </is>
      </c>
      <c r="H11" s="60" t="inlineStr">
        <is>
          <t>https://www.scmp.com/tech</t>
        </is>
      </c>
      <c r="I11" s="76" t="n">
        <v>4</v>
      </c>
      <c r="J11" s="60" t="inlineStr">
        <is>
          <t>Yes</t>
        </is>
      </c>
      <c r="K11" s="60" t="inlineStr">
        <is>
          <t>Major Asia-focused media.</t>
        </is>
      </c>
    </row>
    <row r="12" ht="36" customHeight="1">
      <c r="A12" s="60" t="inlineStr">
        <is>
          <t>Yes</t>
        </is>
      </c>
      <c r="B12" s="60" t="inlineStr">
        <is>
          <t>Middle East</t>
        </is>
      </c>
      <c r="C12" s="60" t="inlineStr">
        <is>
          <t>Saudi Arabia</t>
        </is>
      </c>
      <c r="D12" s="60" t="inlineStr">
        <is>
          <t>Technology</t>
        </is>
      </c>
      <c r="E12" s="60" t="inlineStr">
        <is>
          <t>Arab News Technology</t>
        </is>
      </c>
      <c r="F12" s="60" t="inlineStr">
        <is>
          <t>Arab News</t>
        </is>
      </c>
      <c r="G12" s="60" t="inlineStr">
        <is>
          <t>https://www.arabnews.com/taxonomy/term/2936/feed</t>
        </is>
      </c>
      <c r="H12" s="60" t="inlineStr">
        <is>
          <t>https://www.arabnews.com/tags/technology</t>
        </is>
      </c>
      <c r="I12" s="76" t="n">
        <v>3</v>
      </c>
      <c r="J12" s="60" t="inlineStr">
        <is>
          <t>Yes</t>
        </is>
      </c>
      <c r="K12" s="60" t="inlineStr">
        <is>
          <t>Established regional media; topic filter is applied.</t>
        </is>
      </c>
    </row>
    <row r="13" ht="36" customHeight="1">
      <c r="A13" s="60" t="inlineStr">
        <is>
          <t>Yes</t>
        </is>
      </c>
      <c r="B13" s="60" t="inlineStr">
        <is>
          <t>Middle East</t>
        </is>
      </c>
      <c r="C13" s="60" t="inlineStr">
        <is>
          <t>United Arab Emirates</t>
        </is>
      </c>
      <c r="D13" s="60" t="inlineStr">
        <is>
          <t>Technology and innovation</t>
        </is>
      </c>
      <c r="E13" s="60" t="inlineStr">
        <is>
          <t>The National Technology</t>
        </is>
      </c>
      <c r="F13" s="60" t="inlineStr">
        <is>
          <t>The National</t>
        </is>
      </c>
      <c r="G13" s="60" t="inlineStr">
        <is>
          <t>https://www.thenationalnews.com/arc/outboundfeeds/rss/category/future/technology/?outputType=xml</t>
        </is>
      </c>
      <c r="H13" s="60" t="inlineStr">
        <is>
          <t>https://www.thenationalnews.com/future/technology/</t>
        </is>
      </c>
      <c r="I13" s="76" t="n">
        <v>4</v>
      </c>
      <c r="J13" s="60" t="inlineStr">
        <is>
          <t>Yes</t>
        </is>
      </c>
      <c r="K13" s="60" t="inlineStr">
        <is>
          <t>Established UAE-based regional newspaper; official technology feed.</t>
        </is>
      </c>
    </row>
    <row r="14" ht="36" customHeight="1">
      <c r="A14" s="60" t="inlineStr">
        <is>
          <t>Yes</t>
        </is>
      </c>
      <c r="B14" s="60" t="inlineStr">
        <is>
          <t>United States</t>
        </is>
      </c>
      <c r="C14" s="60" t="inlineStr">
        <is>
          <t>United States</t>
        </is>
      </c>
      <c r="D14" s="60" t="inlineStr">
        <is>
          <t>Technology policy</t>
        </is>
      </c>
      <c r="E14" s="60" t="inlineStr">
        <is>
          <t>Brookings TechTank</t>
        </is>
      </c>
      <c r="F14" s="60" t="inlineStr">
        <is>
          <t>Brookings Institution</t>
        </is>
      </c>
      <c r="G14" s="60" t="inlineStr">
        <is>
          <t>https://www.brookings.edu/tags/techtank/</t>
        </is>
      </c>
      <c r="H14" s="60" t="inlineStr">
        <is>
          <t>https://www.brookings.edu/tags/techtank/</t>
        </is>
      </c>
      <c r="I14" s="76" t="n">
        <v>5</v>
      </c>
      <c r="J14" s="60" t="inlineStr">
        <is>
          <t>No</t>
        </is>
      </c>
      <c r="K14" s="60" t="inlineStr">
        <is>
          <t>Technology-policy analysis from Brookings; official listing-page fallback.</t>
        </is>
      </c>
    </row>
    <row r="15" ht="36" customHeight="1">
      <c r="A15" s="60" t="inlineStr">
        <is>
          <t>Yes</t>
        </is>
      </c>
      <c r="B15" s="60" t="inlineStr">
        <is>
          <t>United States</t>
        </is>
      </c>
      <c r="C15" s="60" t="inlineStr">
        <is>
          <t>United States</t>
        </is>
      </c>
      <c r="D15" s="60" t="inlineStr">
        <is>
          <t>Technology and industrial policy</t>
        </is>
      </c>
      <c r="E15" s="60" t="inlineStr">
        <is>
          <t>CSIS Analysis</t>
        </is>
      </c>
      <c r="F15" s="60" t="inlineStr">
        <is>
          <t>Center for Strategic and International Studies</t>
        </is>
      </c>
      <c r="G15" s="60" t="inlineStr">
        <is>
          <t>https://www.csis.org/rss.xml</t>
        </is>
      </c>
      <c r="H15" s="60" t="inlineStr">
        <is>
          <t>https://www.csis.org/analysis</t>
        </is>
      </c>
      <c r="I15" s="76" t="n">
        <v>4</v>
      </c>
      <c r="J15" s="60" t="inlineStr">
        <is>
          <t>Yes</t>
        </is>
      </c>
      <c r="K15" s="60" t="inlineStr">
        <is>
          <t>Broad analysis feed; innovation-topic filter is applied.</t>
        </is>
      </c>
    </row>
    <row r="16" ht="36" customHeight="1">
      <c r="A16" s="60" t="inlineStr">
        <is>
          <t>Yes</t>
        </is>
      </c>
      <c r="B16" s="60" t="inlineStr">
        <is>
          <t>United States</t>
        </is>
      </c>
      <c r="C16" s="60" t="inlineStr">
        <is>
          <t>United States</t>
        </is>
      </c>
      <c r="D16" s="60" t="inlineStr">
        <is>
          <t>Emerging technology policy</t>
        </is>
      </c>
      <c r="E16" s="60" t="inlineStr">
        <is>
          <t>CSET</t>
        </is>
      </c>
      <c r="F16" s="60" t="inlineStr">
        <is>
          <t>Center for Security and Emerging Technology</t>
        </is>
      </c>
      <c r="G16" s="60" t="inlineStr">
        <is>
          <t>https://cset.georgetown.edu/feed/</t>
        </is>
      </c>
      <c r="H16" s="60" t="inlineStr">
        <is>
          <t>https://cset.georgetown.edu/</t>
        </is>
      </c>
      <c r="I16" s="76" t="n">
        <v>5</v>
      </c>
      <c r="J16" s="60" t="inlineStr">
        <is>
          <t>Yes</t>
        </is>
      </c>
      <c r="K16" s="60" t="inlineStr">
        <is>
          <t>University-based emerging-technology policy center.</t>
        </is>
      </c>
    </row>
    <row r="17" ht="36" customHeight="1">
      <c r="A17" s="60" t="inlineStr">
        <is>
          <t>Yes</t>
        </is>
      </c>
      <c r="B17" s="60" t="inlineStr">
        <is>
          <t>EU &amp; Europe</t>
        </is>
      </c>
      <c r="C17" s="60" t="inlineStr">
        <is>
          <t>Belgium</t>
        </is>
      </c>
      <c r="D17" s="60" t="inlineStr">
        <is>
          <t>Economic and innovation policy</t>
        </is>
      </c>
      <c r="E17" s="60" t="inlineStr">
        <is>
          <t>Bruegel</t>
        </is>
      </c>
      <c r="F17" s="60" t="inlineStr">
        <is>
          <t>Bruegel</t>
        </is>
      </c>
      <c r="G17" s="60" t="inlineStr">
        <is>
          <t>https://www.bruegel.org/rss.xml</t>
        </is>
      </c>
      <c r="H17" s="60" t="inlineStr">
        <is>
          <t>https://www.bruegel.org/</t>
        </is>
      </c>
      <c r="I17" s="76" t="n">
        <v>4</v>
      </c>
      <c r="J17" s="60" t="inlineStr">
        <is>
          <t>Yes</t>
        </is>
      </c>
      <c r="K17" s="60" t="inlineStr">
        <is>
          <t>European economic-policy institute.</t>
        </is>
      </c>
    </row>
    <row r="18" ht="36" customHeight="1">
      <c r="A18" s="60" t="inlineStr">
        <is>
          <t>Yes</t>
        </is>
      </c>
      <c r="B18" s="60" t="inlineStr">
        <is>
          <t>Asia</t>
        </is>
      </c>
      <c r="C18" s="60" t="inlineStr">
        <is>
          <t>China / Germany</t>
        </is>
      </c>
      <c r="D18" s="60" t="inlineStr">
        <is>
          <t>China technology and industrial policy</t>
        </is>
      </c>
      <c r="E18" s="60" t="inlineStr">
        <is>
          <t>MERICS</t>
        </is>
      </c>
      <c r="F18" s="60" t="inlineStr">
        <is>
          <t>Mercator Institute for China Studies</t>
        </is>
      </c>
      <c r="G18" s="60" t="inlineStr">
        <is>
          <t>https://merics.org/en/rss.xml</t>
        </is>
      </c>
      <c r="H18" s="60" t="inlineStr">
        <is>
          <t>https://merics.org/en</t>
        </is>
      </c>
      <c r="I18" s="76" t="n">
        <v>4</v>
      </c>
      <c r="J18" s="60" t="inlineStr">
        <is>
          <t>Yes</t>
        </is>
      </c>
      <c r="K18" s="60" t="inlineStr">
        <is>
          <t>China-focused policy institute.</t>
        </is>
      </c>
    </row>
    <row r="19" ht="36" customHeight="1">
      <c r="A19" s="60" t="inlineStr">
        <is>
          <t>Yes</t>
        </is>
      </c>
      <c r="B19" s="60" t="inlineStr">
        <is>
          <t>United States</t>
        </is>
      </c>
      <c r="C19" s="60" t="inlineStr">
        <is>
          <t>United States</t>
        </is>
      </c>
      <c r="D19" s="60" t="inlineStr">
        <is>
          <t>Research policy and science</t>
        </is>
      </c>
      <c r="E19" s="60" t="inlineStr">
        <is>
          <t>National Science Foundation News</t>
        </is>
      </c>
      <c r="F19" s="60" t="inlineStr">
        <is>
          <t>U.S. National Science Foundation</t>
        </is>
      </c>
      <c r="G19" s="60" t="inlineStr">
        <is>
          <t>https://www.nsf.gov/rss/rss_www_news.xml</t>
        </is>
      </c>
      <c r="H19" s="60" t="inlineStr">
        <is>
          <t>https://www.nsf.gov/news</t>
        </is>
      </c>
      <c r="I19" s="76" t="n">
        <v>5</v>
      </c>
      <c r="J19" s="60" t="inlineStr">
        <is>
          <t>Yes</t>
        </is>
      </c>
      <c r="K19" s="60" t="inlineStr">
        <is>
          <t>Official U.S. government source.</t>
        </is>
      </c>
    </row>
    <row r="20" ht="36" customHeight="1">
      <c r="A20" s="60" t="inlineStr">
        <is>
          <t>Yes</t>
        </is>
      </c>
      <c r="B20" s="60" t="inlineStr">
        <is>
          <t>United States</t>
        </is>
      </c>
      <c r="C20" s="60" t="inlineStr">
        <is>
          <t>United States</t>
        </is>
      </c>
      <c r="D20" s="60" t="inlineStr">
        <is>
          <t>Standards, science and industrial policy</t>
        </is>
      </c>
      <c r="E20" s="60" t="inlineStr">
        <is>
          <t>NIST News</t>
        </is>
      </c>
      <c r="F20" s="60" t="inlineStr">
        <is>
          <t>National Institute of Standards and Technology</t>
        </is>
      </c>
      <c r="G20" s="60" t="inlineStr">
        <is>
          <t>https://www.nist.gov/news-events/news/rss.xml</t>
        </is>
      </c>
      <c r="H20" s="60" t="inlineStr">
        <is>
          <t>https://www.nist.gov/news-events/news</t>
        </is>
      </c>
      <c r="I20" s="76" t="n">
        <v>5</v>
      </c>
      <c r="J20" s="60" t="inlineStr">
        <is>
          <t>Yes</t>
        </is>
      </c>
      <c r="K20" s="60" t="inlineStr">
        <is>
          <t>Official U.S. government source.</t>
        </is>
      </c>
    </row>
    <row r="21" ht="36" customHeight="1">
      <c r="A21" s="60" t="inlineStr">
        <is>
          <t>Yes</t>
        </is>
      </c>
      <c r="B21" s="60" t="inlineStr">
        <is>
          <t>United States</t>
        </is>
      </c>
      <c r="C21" s="60" t="inlineStr">
        <is>
          <t>United States</t>
        </is>
      </c>
      <c r="D21" s="60" t="inlineStr">
        <is>
          <t>Biotechnology and healthcare</t>
        </is>
      </c>
      <c r="E21" s="60" t="inlineStr">
        <is>
          <t>NIH News Releases</t>
        </is>
      </c>
      <c r="F21" s="60" t="inlineStr">
        <is>
          <t>U.S. National Institutes of Health</t>
        </is>
      </c>
      <c r="G21" s="60" t="inlineStr">
        <is>
          <t>https://www.nih.gov/news-events/news-releases/rss.xml</t>
        </is>
      </c>
      <c r="H21" s="60" t="inlineStr">
        <is>
          <t>https://www.nih.gov/news-events/news-releases</t>
        </is>
      </c>
      <c r="I21" s="76" t="n">
        <v>5</v>
      </c>
      <c r="J21" s="60" t="inlineStr">
        <is>
          <t>Yes</t>
        </is>
      </c>
      <c r="K21" s="60" t="inlineStr">
        <is>
          <t>Official U.S. biomedical-research source.</t>
        </is>
      </c>
    </row>
    <row r="22" ht="36" customHeight="1">
      <c r="A22" s="60" t="inlineStr">
        <is>
          <t>Yes</t>
        </is>
      </c>
      <c r="B22" s="60" t="inlineStr">
        <is>
          <t>United States</t>
        </is>
      </c>
      <c r="C22" s="60" t="inlineStr">
        <is>
          <t>United States</t>
        </is>
      </c>
      <c r="D22" s="60" t="inlineStr">
        <is>
          <t>Energy, quantum and research policy</t>
        </is>
      </c>
      <c r="E22" s="60" t="inlineStr">
        <is>
          <t>DOE Office of Science News</t>
        </is>
      </c>
      <c r="F22" s="60" t="inlineStr">
        <is>
          <t>U.S. Department of Energy</t>
        </is>
      </c>
      <c r="G22" s="60" t="inlineStr">
        <is>
          <t>https://www.energy.gov/rss/science/3662436</t>
        </is>
      </c>
      <c r="H22" s="60" t="inlineStr">
        <is>
          <t>https://www.energy.gov/science/listings/office-science-news</t>
        </is>
      </c>
      <c r="I22" s="76" t="n">
        <v>5</v>
      </c>
      <c r="J22" s="60" t="inlineStr">
        <is>
          <t>Yes</t>
        </is>
      </c>
      <c r="K22" s="60" t="inlineStr">
        <is>
          <t>Official U.S. government source; includes fusion and quantum policy.</t>
        </is>
      </c>
    </row>
    <row r="23" ht="36" customHeight="1">
      <c r="A23" s="60" t="inlineStr">
        <is>
          <t>Yes</t>
        </is>
      </c>
      <c r="B23" s="60" t="inlineStr">
        <is>
          <t>EU &amp; Europe</t>
        </is>
      </c>
      <c r="C23" s="60" t="inlineStr">
        <is>
          <t>European Union</t>
        </is>
      </c>
      <c r="D23" s="60" t="inlineStr">
        <is>
          <t>EU policy</t>
        </is>
      </c>
      <c r="E23" s="60" t="inlineStr">
        <is>
          <t>European Commission Press Corner</t>
        </is>
      </c>
      <c r="F23" s="60" t="inlineStr">
        <is>
          <t>European Commission</t>
        </is>
      </c>
      <c r="G23" s="60" t="inlineStr">
        <is>
          <t>https://ec.europa.eu/commission/presscorner/api/rss?language=en&amp;documenttype=press_release</t>
        </is>
      </c>
      <c r="H23" s="60" t="inlineStr">
        <is>
          <t>https://ec.europa.eu/commission/presscorner/home/en</t>
        </is>
      </c>
      <c r="I23" s="76" t="n">
        <v>5</v>
      </c>
      <c r="J23" s="60" t="inlineStr">
        <is>
          <t>Yes</t>
        </is>
      </c>
      <c r="K23" s="60" t="inlineStr">
        <is>
          <t>Official European Commission press releases.</t>
        </is>
      </c>
    </row>
    <row r="24" ht="36" customHeight="1">
      <c r="A24" s="60" t="inlineStr">
        <is>
          <t>Yes</t>
        </is>
      </c>
      <c r="B24" s="60" t="inlineStr">
        <is>
          <t>EU &amp; Europe</t>
        </is>
      </c>
      <c r="C24" s="60" t="inlineStr">
        <is>
          <t>United Kingdom</t>
        </is>
      </c>
      <c r="D24" s="60" t="inlineStr">
        <is>
          <t>Science and innovation policy</t>
        </is>
      </c>
      <c r="E24" s="60" t="inlineStr">
        <is>
          <t>UK DSIT</t>
        </is>
      </c>
      <c r="F24" s="60" t="inlineStr">
        <is>
          <t>Department for Science, Innovation and Technology</t>
        </is>
      </c>
      <c r="G24" s="60" t="inlineStr">
        <is>
          <t>https://www.gov.uk/government/organisations/department-for-science-innovation-and-technology.atom</t>
        </is>
      </c>
      <c r="H24" s="60" t="inlineStr">
        <is>
          <t>https://www.gov.uk/government/organisations/department-for-science-innovation-and-technology</t>
        </is>
      </c>
      <c r="I24" s="76" t="n">
        <v>5</v>
      </c>
      <c r="J24" s="60" t="inlineStr">
        <is>
          <t>Yes</t>
        </is>
      </c>
      <c r="K24" s="60" t="inlineStr">
        <is>
          <t>Official UK government Atom feed.</t>
        </is>
      </c>
    </row>
    <row r="25" ht="36" customHeight="1">
      <c r="A25" s="60" t="inlineStr">
        <is>
          <t>Yes</t>
        </is>
      </c>
      <c r="B25" s="60" t="inlineStr">
        <is>
          <t>Asia</t>
        </is>
      </c>
      <c r="C25" s="60" t="inlineStr">
        <is>
          <t>Japan</t>
        </is>
      </c>
      <c r="D25" s="60" t="inlineStr">
        <is>
          <t>Industrial and innovation policy</t>
        </is>
      </c>
      <c r="E25" s="60" t="inlineStr">
        <is>
          <t>METI Press Releases</t>
        </is>
      </c>
      <c r="F25" s="60" t="inlineStr">
        <is>
          <t>Ministry of Economy, Trade and Industry</t>
        </is>
      </c>
      <c r="G25" s="60" t="inlineStr">
        <is>
          <t>https://www.meti.go.jp/english/press/index.rdf</t>
        </is>
      </c>
      <c r="H25" s="60" t="inlineStr">
        <is>
          <t>https://www.meti.go.jp/english/press/index.html</t>
        </is>
      </c>
      <c r="I25" s="76" t="n">
        <v>5</v>
      </c>
      <c r="J25" s="60" t="inlineStr">
        <is>
          <t>Yes</t>
        </is>
      </c>
      <c r="K25" s="60" t="inlineStr">
        <is>
          <t>Official Japanese government English-language feed.</t>
        </is>
      </c>
    </row>
    <row r="26" ht="36" customHeight="1">
      <c r="A26" s="60" t="inlineStr">
        <is>
          <t>Yes</t>
        </is>
      </c>
      <c r="B26" s="60" t="inlineStr">
        <is>
          <t>Global</t>
        </is>
      </c>
      <c r="C26" s="60" t="inlineStr">
        <is>
          <t>Global</t>
        </is>
      </c>
      <c r="D26" s="60" t="inlineStr">
        <is>
          <t>Healthcare policy</t>
        </is>
      </c>
      <c r="E26" s="60" t="inlineStr">
        <is>
          <t>WHO News</t>
        </is>
      </c>
      <c r="F26" s="60" t="inlineStr">
        <is>
          <t>World Health Organization</t>
        </is>
      </c>
      <c r="G26" s="60" t="inlineStr">
        <is>
          <t>https://www.who.int/rss-feeds/news-english.xml</t>
        </is>
      </c>
      <c r="H26" s="60" t="inlineStr">
        <is>
          <t>https://www.who.int/news</t>
        </is>
      </c>
      <c r="I26" s="76" t="n">
        <v>4</v>
      </c>
      <c r="J26" s="60" t="inlineStr">
        <is>
          <t>Yes</t>
        </is>
      </c>
      <c r="K26" s="60" t="inlineStr">
        <is>
          <t>Official international public-health source.</t>
        </is>
      </c>
    </row>
    <row r="27" ht="36" customHeight="1">
      <c r="A27" s="60" t="inlineStr">
        <is>
          <t>Yes</t>
        </is>
      </c>
      <c r="B27" s="60" t="inlineStr">
        <is>
          <t>Global</t>
        </is>
      </c>
      <c r="C27" s="60" t="inlineStr">
        <is>
          <t>Global</t>
        </is>
      </c>
      <c r="D27" s="60" t="inlineStr">
        <is>
          <t>Energy technology and policy</t>
        </is>
      </c>
      <c r="E27" s="60" t="inlineStr">
        <is>
          <t>IEA News</t>
        </is>
      </c>
      <c r="F27" s="60" t="inlineStr">
        <is>
          <t>International Energy Agency</t>
        </is>
      </c>
      <c r="G27" s="60" t="inlineStr">
        <is>
          <t>https://www.iea.org/rss/news.xml</t>
        </is>
      </c>
      <c r="H27" s="60" t="inlineStr">
        <is>
          <t>https://www.iea.org/news</t>
        </is>
      </c>
      <c r="I27" s="76" t="n">
        <v>4</v>
      </c>
      <c r="J27" s="60" t="inlineStr">
        <is>
          <t>Yes</t>
        </is>
      </c>
      <c r="K27" s="60" t="inlineStr">
        <is>
          <t>Official international energy-policy source.</t>
        </is>
      </c>
    </row>
    <row r="28" ht="36" customHeight="1">
      <c r="A28" s="60" t="inlineStr">
        <is>
          <t>Yes</t>
        </is>
      </c>
      <c r="B28" s="60" t="inlineStr">
        <is>
          <t>Global</t>
        </is>
      </c>
      <c r="C28" s="60" t="inlineStr">
        <is>
          <t>Global</t>
        </is>
      </c>
      <c r="D28" s="60" t="inlineStr">
        <is>
          <t>Economic, science and innovation policy</t>
        </is>
      </c>
      <c r="E28" s="60" t="inlineStr">
        <is>
          <t>OECD Newsroom</t>
        </is>
      </c>
      <c r="F28" s="60" t="inlineStr">
        <is>
          <t>OECD</t>
        </is>
      </c>
      <c r="G28" s="60" t="inlineStr">
        <is>
          <t>https://www.oecd.org/newsroom/rss.xml</t>
        </is>
      </c>
      <c r="H28" s="60" t="inlineStr">
        <is>
          <t>https://www.oecd.org/newsroom/</t>
        </is>
      </c>
      <c r="I28" s="76" t="n">
        <v>4</v>
      </c>
      <c r="J28" s="60" t="inlineStr">
        <is>
          <t>Yes</t>
        </is>
      </c>
      <c r="K28" s="60" t="inlineStr">
        <is>
          <t>Official OECD source.</t>
        </is>
      </c>
    </row>
    <row r="29" ht="36" customHeight="1">
      <c r="A29" s="60" t="inlineStr">
        <is>
          <t>Yes</t>
        </is>
      </c>
      <c r="B29" s="60" t="inlineStr">
        <is>
          <t>Global</t>
        </is>
      </c>
      <c r="C29" s="60" t="inlineStr">
        <is>
          <t>United States</t>
        </is>
      </c>
      <c r="D29" s="60" t="inlineStr">
        <is>
          <t>Artificial intelligence</t>
        </is>
      </c>
      <c r="E29" s="60" t="inlineStr">
        <is>
          <t>OpenAI News</t>
        </is>
      </c>
      <c r="F29" s="60" t="inlineStr">
        <is>
          <t>OpenAI</t>
        </is>
      </c>
      <c r="G29" s="60" t="inlineStr">
        <is>
          <t>https://openai.com/news/rss.xml</t>
        </is>
      </c>
      <c r="H29" s="60" t="inlineStr">
        <is>
          <t>https://openai.com/news/</t>
        </is>
      </c>
      <c r="I29" s="76" t="n">
        <v>5</v>
      </c>
      <c r="J29" s="60" t="inlineStr">
        <is>
          <t>Yes</t>
        </is>
      </c>
      <c r="K29" s="60" t="inlineStr">
        <is>
          <t>Official company newsroom.</t>
        </is>
      </c>
    </row>
    <row r="30" ht="36" customHeight="1">
      <c r="A30" s="60" t="inlineStr">
        <is>
          <t>Yes</t>
        </is>
      </c>
      <c r="B30" s="60" t="inlineStr">
        <is>
          <t>Global</t>
        </is>
      </c>
      <c r="C30" s="60" t="inlineStr">
        <is>
          <t>United States</t>
        </is>
      </c>
      <c r="D30" s="60" t="inlineStr">
        <is>
          <t>Artificial intelligence</t>
        </is>
      </c>
      <c r="E30" s="60" t="inlineStr">
        <is>
          <t>Google AI</t>
        </is>
      </c>
      <c r="F30" s="60" t="inlineStr">
        <is>
          <t>Google</t>
        </is>
      </c>
      <c r="G30" s="60" t="inlineStr">
        <is>
          <t>https://blog.google/technology/ai/rss/</t>
        </is>
      </c>
      <c r="H30" s="60" t="inlineStr">
        <is>
          <t>https://blog.google/technology/ai/</t>
        </is>
      </c>
      <c r="I30" s="76" t="n">
        <v>4</v>
      </c>
      <c r="J30" s="60" t="inlineStr">
        <is>
          <t>Yes</t>
        </is>
      </c>
      <c r="K30" s="60" t="inlineStr">
        <is>
          <t>Official company publication.</t>
        </is>
      </c>
    </row>
    <row r="31" ht="36" customHeight="1">
      <c r="A31" s="60" t="inlineStr">
        <is>
          <t>Yes</t>
        </is>
      </c>
      <c r="B31" s="60" t="inlineStr">
        <is>
          <t>Global</t>
        </is>
      </c>
      <c r="C31" s="60" t="inlineStr">
        <is>
          <t>United States</t>
        </is>
      </c>
      <c r="D31" s="60" t="inlineStr">
        <is>
          <t>AI and semiconductors</t>
        </is>
      </c>
      <c r="E31" s="60" t="inlineStr">
        <is>
          <t>NVIDIA Blog</t>
        </is>
      </c>
      <c r="F31" s="60" t="inlineStr">
        <is>
          <t>NVIDIA</t>
        </is>
      </c>
      <c r="G31" s="60" t="inlineStr">
        <is>
          <t>https://blogs.nvidia.com/feed/</t>
        </is>
      </c>
      <c r="H31" s="60" t="inlineStr">
        <is>
          <t>https://blogs.nvidia.com/</t>
        </is>
      </c>
      <c r="I31" s="76" t="n">
        <v>4</v>
      </c>
      <c r="J31" s="60" t="inlineStr">
        <is>
          <t>Yes</t>
        </is>
      </c>
      <c r="K31" s="60" t="inlineStr">
        <is>
          <t>Official company publication.</t>
        </is>
      </c>
    </row>
    <row r="32" ht="36" customHeight="1">
      <c r="A32" s="60" t="inlineStr">
        <is>
          <t>Yes</t>
        </is>
      </c>
      <c r="B32" s="60" t="inlineStr">
        <is>
          <t>Global</t>
        </is>
      </c>
      <c r="C32" s="60" t="inlineStr">
        <is>
          <t>United States</t>
        </is>
      </c>
      <c r="D32" s="60" t="inlineStr">
        <is>
          <t>Semiconductors</t>
        </is>
      </c>
      <c r="E32" s="60" t="inlineStr">
        <is>
          <t>Intel Newsroom</t>
        </is>
      </c>
      <c r="F32" s="60" t="inlineStr">
        <is>
          <t>Intel</t>
        </is>
      </c>
      <c r="G32" s="60" t="inlineStr">
        <is>
          <t>https://newsroom.intel.com/feed</t>
        </is>
      </c>
      <c r="H32" s="60" t="inlineStr">
        <is>
          <t>https://newsroom.intel.com/</t>
        </is>
      </c>
      <c r="I32" s="76" t="n">
        <v>4</v>
      </c>
      <c r="J32" s="60" t="inlineStr">
        <is>
          <t>Yes</t>
        </is>
      </c>
      <c r="K32" s="60" t="inlineStr">
        <is>
          <t>Official company newsroom.</t>
        </is>
      </c>
    </row>
    <row r="33" ht="36" customHeight="1">
      <c r="A33" s="60" t="inlineStr">
        <is>
          <t>Yes</t>
        </is>
      </c>
      <c r="B33" s="60" t="inlineStr">
        <is>
          <t>Global</t>
        </is>
      </c>
      <c r="C33" s="60" t="inlineStr">
        <is>
          <t>United States</t>
        </is>
      </c>
      <c r="D33" s="60" t="inlineStr">
        <is>
          <t>AI and quantum</t>
        </is>
      </c>
      <c r="E33" s="60" t="inlineStr">
        <is>
          <t>IBM Research</t>
        </is>
      </c>
      <c r="F33" s="60" t="inlineStr">
        <is>
          <t>IBM</t>
        </is>
      </c>
      <c r="G33" s="60" t="inlineStr">
        <is>
          <t>https://research.ibm.com/blog/rss.xml</t>
        </is>
      </c>
      <c r="H33" s="60" t="inlineStr">
        <is>
          <t>https://research.ibm.com/blog</t>
        </is>
      </c>
      <c r="I33" s="76" t="n">
        <v>4</v>
      </c>
      <c r="J33" s="60" t="inlineStr">
        <is>
          <t>Yes</t>
        </is>
      </c>
      <c r="K33" s="60" t="inlineStr">
        <is>
          <t>Official corporate research publication.</t>
        </is>
      </c>
    </row>
    <row r="34" ht="36" customHeight="1">
      <c r="A34" s="60" t="inlineStr">
        <is>
          <t>Yes</t>
        </is>
      </c>
      <c r="B34" s="60" t="inlineStr">
        <is>
          <t>Global</t>
        </is>
      </c>
      <c r="C34" s="60" t="inlineStr">
        <is>
          <t>United States</t>
        </is>
      </c>
      <c r="D34" s="60" t="inlineStr">
        <is>
          <t>AI, quantum and computing</t>
        </is>
      </c>
      <c r="E34" s="60" t="inlineStr">
        <is>
          <t>Microsoft Research</t>
        </is>
      </c>
      <c r="F34" s="60" t="inlineStr">
        <is>
          <t>Microsoft</t>
        </is>
      </c>
      <c r="G34" s="60" t="inlineStr">
        <is>
          <t>https://www.microsoft.com/en-us/research/feed/</t>
        </is>
      </c>
      <c r="H34" s="60" t="inlineStr">
        <is>
          <t>https://www.microsoft.com/en-us/research/blog/</t>
        </is>
      </c>
      <c r="I34" s="76" t="n">
        <v>4</v>
      </c>
      <c r="J34" s="60" t="inlineStr">
        <is>
          <t>Yes</t>
        </is>
      </c>
      <c r="K34" s="60" t="inlineStr">
        <is>
          <t>Official corporate research publication.</t>
        </is>
      </c>
    </row>
    <row r="35" ht="36" customHeight="1">
      <c r="A35" s="60" t="inlineStr">
        <is>
          <t>Yes</t>
        </is>
      </c>
      <c r="B35" s="60" t="inlineStr">
        <is>
          <t>Asia</t>
        </is>
      </c>
      <c r="C35" s="60" t="inlineStr">
        <is>
          <t>South Korea</t>
        </is>
      </c>
      <c r="D35" s="60" t="inlineStr">
        <is>
          <t>Semiconductors, AI and telecom</t>
        </is>
      </c>
      <c r="E35" s="60" t="inlineStr">
        <is>
          <t>Samsung Global Newsroom</t>
        </is>
      </c>
      <c r="F35" s="60" t="inlineStr">
        <is>
          <t>Samsung Electronics</t>
        </is>
      </c>
      <c r="G35" s="60" t="inlineStr">
        <is>
          <t>https://news.samsung.com/global/feed</t>
        </is>
      </c>
      <c r="H35" s="60" t="inlineStr">
        <is>
          <t>https://news.samsung.com/global/</t>
        </is>
      </c>
      <c r="I35" s="76" t="n">
        <v>4</v>
      </c>
      <c r="J35" s="60" t="inlineStr">
        <is>
          <t>Yes</t>
        </is>
      </c>
      <c r="K35" s="60" t="inlineStr">
        <is>
          <t>Official company newsroom.</t>
        </is>
      </c>
    </row>
    <row r="36" ht="36" customHeight="1">
      <c r="A36" s="60" t="inlineStr">
        <is>
          <t>Yes</t>
        </is>
      </c>
      <c r="B36" s="60" t="inlineStr">
        <is>
          <t>EU &amp; Europe</t>
        </is>
      </c>
      <c r="C36" s="60" t="inlineStr">
        <is>
          <t>International / France</t>
        </is>
      </c>
      <c r="D36" s="60" t="inlineStr">
        <is>
          <t>Fusion energy</t>
        </is>
      </c>
      <c r="E36" s="60" t="inlineStr">
        <is>
          <t>ITER News</t>
        </is>
      </c>
      <c r="F36" s="60" t="inlineStr">
        <is>
          <t>ITER Organization</t>
        </is>
      </c>
      <c r="G36" s="60" t="inlineStr">
        <is>
          <t>https://www.iter.org/news</t>
        </is>
      </c>
      <c r="H36" s="60" t="inlineStr">
        <is>
          <t>https://www.iter.org/news</t>
        </is>
      </c>
      <c r="I36" s="76" t="n">
        <v>5</v>
      </c>
      <c r="J36" s="60" t="inlineStr">
        <is>
          <t>No</t>
        </is>
      </c>
      <c r="K36" s="60" t="inlineStr">
        <is>
          <t>Official international fusion project; official listing-page fallback.</t>
        </is>
      </c>
    </row>
    <row r="37" ht="36" customHeight="1">
      <c r="A37" s="60" t="inlineStr">
        <is>
          <t>Yes</t>
        </is>
      </c>
      <c r="B37" s="60" t="inlineStr">
        <is>
          <t>Global</t>
        </is>
      </c>
      <c r="C37" s="60" t="inlineStr">
        <is>
          <t>Global</t>
        </is>
      </c>
      <c r="D37" s="60" t="inlineStr">
        <is>
          <t>Fusion energy</t>
        </is>
      </c>
      <c r="E37" s="60" t="inlineStr">
        <is>
          <t>Fusion Industry Association</t>
        </is>
      </c>
      <c r="F37" s="60" t="inlineStr">
        <is>
          <t>Fusion Industry Association</t>
        </is>
      </c>
      <c r="G37" s="60" t="inlineStr">
        <is>
          <t>https://www.fusionindustryassociation.org/feed/</t>
        </is>
      </c>
      <c r="H37" s="60" t="inlineStr">
        <is>
          <t>https://www.fusionindustryassociation.org/</t>
        </is>
      </c>
      <c r="I37" s="76" t="n">
        <v>3</v>
      </c>
      <c r="J37" s="60" t="inlineStr">
        <is>
          <t>Yes</t>
        </is>
      </c>
      <c r="K37" s="60" t="inlineStr">
        <is>
          <t>Established industry association; company claims are clearly labeled by source.</t>
        </is>
      </c>
    </row>
  </sheetData>
  <autoFilter ref="A3:K37"/>
  <mergeCells count="2">
    <mergeCell ref="A2:K2"/>
    <mergeCell ref="A1:K1"/>
  </mergeCells>
  <dataValidations count="1">
    <dataValidation sqref="A4:A37" showDropDown="0" showInputMessage="0" showErrorMessage="0" allowBlank="0" type="list">
      <formula1>"Yes,No"</formula1>
    </dataValidation>
  </dataValidations>
  <hyperlinks>
    <hyperlink xmlns:r="http://schemas.openxmlformats.org/officeDocument/2006/relationships" ref="G4" r:id="rId1"/>
    <hyperlink xmlns:r="http://schemas.openxmlformats.org/officeDocument/2006/relationships" ref="H4" r:id="rId2"/>
    <hyperlink xmlns:r="http://schemas.openxmlformats.org/officeDocument/2006/relationships" ref="G5" r:id="rId3"/>
    <hyperlink xmlns:r="http://schemas.openxmlformats.org/officeDocument/2006/relationships" ref="H5" r:id="rId4"/>
    <hyperlink xmlns:r="http://schemas.openxmlformats.org/officeDocument/2006/relationships" ref="G6" r:id="rId5"/>
    <hyperlink xmlns:r="http://schemas.openxmlformats.org/officeDocument/2006/relationships" ref="H6" r:id="rId6"/>
    <hyperlink xmlns:r="http://schemas.openxmlformats.org/officeDocument/2006/relationships" ref="G7" r:id="rId7"/>
    <hyperlink xmlns:r="http://schemas.openxmlformats.org/officeDocument/2006/relationships" ref="H7" r:id="rId8"/>
    <hyperlink xmlns:r="http://schemas.openxmlformats.org/officeDocument/2006/relationships" ref="G8" r:id="rId9"/>
    <hyperlink xmlns:r="http://schemas.openxmlformats.org/officeDocument/2006/relationships" ref="H8" r:id="rId10"/>
    <hyperlink xmlns:r="http://schemas.openxmlformats.org/officeDocument/2006/relationships" ref="G9" r:id="rId11"/>
    <hyperlink xmlns:r="http://schemas.openxmlformats.org/officeDocument/2006/relationships" ref="H9" r:id="rId12"/>
    <hyperlink xmlns:r="http://schemas.openxmlformats.org/officeDocument/2006/relationships" ref="G10" r:id="rId13"/>
    <hyperlink xmlns:r="http://schemas.openxmlformats.org/officeDocument/2006/relationships" ref="H10" r:id="rId14"/>
    <hyperlink xmlns:r="http://schemas.openxmlformats.org/officeDocument/2006/relationships" ref="G11" r:id="rId15"/>
    <hyperlink xmlns:r="http://schemas.openxmlformats.org/officeDocument/2006/relationships" ref="H11" r:id="rId16"/>
    <hyperlink xmlns:r="http://schemas.openxmlformats.org/officeDocument/2006/relationships" ref="G12" r:id="rId17"/>
    <hyperlink xmlns:r="http://schemas.openxmlformats.org/officeDocument/2006/relationships" ref="H12" r:id="rId18"/>
    <hyperlink xmlns:r="http://schemas.openxmlformats.org/officeDocument/2006/relationships" ref="G13" r:id="rId19"/>
    <hyperlink xmlns:r="http://schemas.openxmlformats.org/officeDocument/2006/relationships" ref="H13" r:id="rId20"/>
    <hyperlink xmlns:r="http://schemas.openxmlformats.org/officeDocument/2006/relationships" ref="G14" r:id="rId21"/>
    <hyperlink xmlns:r="http://schemas.openxmlformats.org/officeDocument/2006/relationships" ref="H14" r:id="rId22"/>
    <hyperlink xmlns:r="http://schemas.openxmlformats.org/officeDocument/2006/relationships" ref="G15" r:id="rId23"/>
    <hyperlink xmlns:r="http://schemas.openxmlformats.org/officeDocument/2006/relationships" ref="H15" r:id="rId24"/>
    <hyperlink xmlns:r="http://schemas.openxmlformats.org/officeDocument/2006/relationships" ref="G16" r:id="rId25"/>
    <hyperlink xmlns:r="http://schemas.openxmlformats.org/officeDocument/2006/relationships" ref="H16" r:id="rId26"/>
    <hyperlink xmlns:r="http://schemas.openxmlformats.org/officeDocument/2006/relationships" ref="G17" r:id="rId27"/>
    <hyperlink xmlns:r="http://schemas.openxmlformats.org/officeDocument/2006/relationships" ref="H17" r:id="rId28"/>
    <hyperlink xmlns:r="http://schemas.openxmlformats.org/officeDocument/2006/relationships" ref="G18" r:id="rId29"/>
    <hyperlink xmlns:r="http://schemas.openxmlformats.org/officeDocument/2006/relationships" ref="H18" r:id="rId30"/>
    <hyperlink xmlns:r="http://schemas.openxmlformats.org/officeDocument/2006/relationships" ref="G19" r:id="rId31"/>
    <hyperlink xmlns:r="http://schemas.openxmlformats.org/officeDocument/2006/relationships" ref="H19" r:id="rId32"/>
    <hyperlink xmlns:r="http://schemas.openxmlformats.org/officeDocument/2006/relationships" ref="G20" r:id="rId33"/>
    <hyperlink xmlns:r="http://schemas.openxmlformats.org/officeDocument/2006/relationships" ref="H20" r:id="rId34"/>
    <hyperlink xmlns:r="http://schemas.openxmlformats.org/officeDocument/2006/relationships" ref="G21" r:id="rId35"/>
    <hyperlink xmlns:r="http://schemas.openxmlformats.org/officeDocument/2006/relationships" ref="H21" r:id="rId36"/>
    <hyperlink xmlns:r="http://schemas.openxmlformats.org/officeDocument/2006/relationships" ref="G22" r:id="rId37"/>
    <hyperlink xmlns:r="http://schemas.openxmlformats.org/officeDocument/2006/relationships" ref="H22" r:id="rId38"/>
    <hyperlink xmlns:r="http://schemas.openxmlformats.org/officeDocument/2006/relationships" ref="G23" r:id="rId39"/>
    <hyperlink xmlns:r="http://schemas.openxmlformats.org/officeDocument/2006/relationships" ref="H23" r:id="rId40"/>
    <hyperlink xmlns:r="http://schemas.openxmlformats.org/officeDocument/2006/relationships" ref="G24" r:id="rId41"/>
    <hyperlink xmlns:r="http://schemas.openxmlformats.org/officeDocument/2006/relationships" ref="H24" r:id="rId42"/>
    <hyperlink xmlns:r="http://schemas.openxmlformats.org/officeDocument/2006/relationships" ref="G25" r:id="rId43"/>
    <hyperlink xmlns:r="http://schemas.openxmlformats.org/officeDocument/2006/relationships" ref="H25" r:id="rId44"/>
    <hyperlink xmlns:r="http://schemas.openxmlformats.org/officeDocument/2006/relationships" ref="G26" r:id="rId45"/>
    <hyperlink xmlns:r="http://schemas.openxmlformats.org/officeDocument/2006/relationships" ref="H26" r:id="rId46"/>
    <hyperlink xmlns:r="http://schemas.openxmlformats.org/officeDocument/2006/relationships" ref="G27" r:id="rId47"/>
    <hyperlink xmlns:r="http://schemas.openxmlformats.org/officeDocument/2006/relationships" ref="H27" r:id="rId48"/>
    <hyperlink xmlns:r="http://schemas.openxmlformats.org/officeDocument/2006/relationships" ref="G28" r:id="rId49"/>
    <hyperlink xmlns:r="http://schemas.openxmlformats.org/officeDocument/2006/relationships" ref="H28" r:id="rId50"/>
    <hyperlink xmlns:r="http://schemas.openxmlformats.org/officeDocument/2006/relationships" ref="G29" r:id="rId51"/>
    <hyperlink xmlns:r="http://schemas.openxmlformats.org/officeDocument/2006/relationships" ref="H29" r:id="rId52"/>
    <hyperlink xmlns:r="http://schemas.openxmlformats.org/officeDocument/2006/relationships" ref="G30" r:id="rId53"/>
    <hyperlink xmlns:r="http://schemas.openxmlformats.org/officeDocument/2006/relationships" ref="H30" r:id="rId54"/>
    <hyperlink xmlns:r="http://schemas.openxmlformats.org/officeDocument/2006/relationships" ref="G31" r:id="rId55"/>
    <hyperlink xmlns:r="http://schemas.openxmlformats.org/officeDocument/2006/relationships" ref="H31" r:id="rId56"/>
    <hyperlink xmlns:r="http://schemas.openxmlformats.org/officeDocument/2006/relationships" ref="G32" r:id="rId57"/>
    <hyperlink xmlns:r="http://schemas.openxmlformats.org/officeDocument/2006/relationships" ref="H32" r:id="rId58"/>
    <hyperlink xmlns:r="http://schemas.openxmlformats.org/officeDocument/2006/relationships" ref="G33" r:id="rId59"/>
    <hyperlink xmlns:r="http://schemas.openxmlformats.org/officeDocument/2006/relationships" ref="H33" r:id="rId60"/>
    <hyperlink xmlns:r="http://schemas.openxmlformats.org/officeDocument/2006/relationships" ref="G34" r:id="rId61"/>
    <hyperlink xmlns:r="http://schemas.openxmlformats.org/officeDocument/2006/relationships" ref="H34" r:id="rId62"/>
    <hyperlink xmlns:r="http://schemas.openxmlformats.org/officeDocument/2006/relationships" ref="G35" r:id="rId63"/>
    <hyperlink xmlns:r="http://schemas.openxmlformats.org/officeDocument/2006/relationships" ref="H35" r:id="rId64"/>
    <hyperlink xmlns:r="http://schemas.openxmlformats.org/officeDocument/2006/relationships" ref="G36" r:id="rId65"/>
    <hyperlink xmlns:r="http://schemas.openxmlformats.org/officeDocument/2006/relationships" ref="H36" r:id="rId66"/>
    <hyperlink xmlns:r="http://schemas.openxmlformats.org/officeDocument/2006/relationships" ref="G37" r:id="rId67"/>
    <hyperlink xmlns:r="http://schemas.openxmlformats.org/officeDocument/2006/relationships" ref="H37" r:id="rId68"/>
  </hyperlinks>
  <pageMargins left="0.7" right="0.7" top="0.75" bottom="0.75" header="0.3" footer="0.3"/>
  <tableParts count="1">
    <tablePart xmlns:r="http://schemas.openxmlformats.org/officeDocument/2006/relationships" r:id="rId69"/>
  </tableParts>
</worksheet>
</file>

<file path=xl/worksheets/sheet4.xml><?xml version="1.0" encoding="utf-8"?>
<worksheet xmlns="http://schemas.openxmlformats.org/spreadsheetml/2006/main">
  <sheetPr>
    <outlinePr summaryBelow="1" summaryRight="1"/>
    <pageSetUpPr/>
  </sheetPr>
  <dimension ref="A1:H8"/>
  <sheetViews>
    <sheetView showGridLines="0" workbookViewId="0">
      <selection activeCell="A1" sqref="A1"/>
    </sheetView>
  </sheetViews>
  <sheetFormatPr baseColWidth="8" defaultRowHeight="15"/>
  <cols>
    <col width="22" customWidth="1" min="1" max="1"/>
    <col width="16" customWidth="1" min="2" max="2"/>
    <col width="18" customWidth="1" min="3" max="3"/>
    <col width="14" customWidth="1" min="4" max="4"/>
    <col width="20" customWidth="1" min="5" max="5"/>
    <col width="14" customWidth="1" min="6" max="6"/>
    <col width="16" customWidth="1" min="7" max="7"/>
    <col width="34" customWidth="1" min="8" max="8"/>
  </cols>
  <sheetData>
    <row r="1" ht="34" customHeight="1">
      <c r="A1" s="4" t="inlineStr">
        <is>
          <t>Run Log</t>
        </is>
      </c>
    </row>
    <row r="2" ht="25" customHeight="1">
      <c r="A2" s="67" t="inlineStr">
        <is>
          <t>Daily collection results; one failed feed never stops the remaining sources</t>
        </is>
      </c>
      <c r="B2" s="68" t="n"/>
      <c r="C2" s="68" t="n"/>
      <c r="D2" s="68" t="n"/>
      <c r="E2" s="68" t="n"/>
      <c r="F2" s="68" t="n"/>
      <c r="G2" s="68" t="n"/>
      <c r="H2" s="69" t="n"/>
    </row>
    <row r="3" ht="31" customHeight="1">
      <c r="A3" s="57" t="inlineStr">
        <is>
          <t>Run Time (JST)</t>
        </is>
      </c>
      <c r="B3" s="58" t="inlineStr">
        <is>
          <t>Feeds Checked</t>
        </is>
      </c>
      <c r="C3" s="58" t="inlineStr">
        <is>
          <t>Feeds Succeeded</t>
        </is>
      </c>
      <c r="D3" s="58" t="inlineStr">
        <is>
          <t>New Items</t>
        </is>
      </c>
      <c r="E3" s="58" t="inlineStr">
        <is>
          <t>Duplicates Skipped</t>
        </is>
      </c>
      <c r="F3" s="58" t="inlineStr">
        <is>
          <t>Feed Errors</t>
        </is>
      </c>
      <c r="G3" s="58" t="inlineStr">
        <is>
          <t>Duration (sec)</t>
        </is>
      </c>
      <c r="H3" s="59" t="inlineStr">
        <is>
          <t>Note</t>
        </is>
      </c>
    </row>
    <row r="4" ht="42" customHeight="1">
      <c r="A4" s="75" t="inlineStr">
        <is>
          <t>2026-07-26T20:00:03+09:00</t>
        </is>
      </c>
      <c r="B4" s="77" t="n">
        <v>34</v>
      </c>
      <c r="C4" s="77" t="n">
        <v>24</v>
      </c>
      <c r="D4" s="77" t="n">
        <v>0</v>
      </c>
      <c r="E4" s="77" t="n">
        <v>58</v>
      </c>
      <c r="F4" s="77" t="n">
        <v>10</v>
      </c>
      <c r="G4" s="77" t="n">
        <v>154.27</v>
      </c>
      <c r="H4" s="60" t="inlineStr">
        <is>
          <t>Daily update</t>
        </is>
      </c>
    </row>
    <row r="5">
      <c r="A5" s="75" t="inlineStr">
        <is>
          <t>2026-07-26T19:51:39+09:00</t>
        </is>
      </c>
      <c r="B5" s="77" t="n">
        <v>34</v>
      </c>
      <c r="C5" s="77" t="n">
        <v>24</v>
      </c>
      <c r="D5" s="77" t="n">
        <v>9</v>
      </c>
      <c r="E5" s="77" t="n">
        <v>49</v>
      </c>
      <c r="F5" s="77" t="n">
        <v>10</v>
      </c>
      <c r="G5" s="77" t="n">
        <v>11.55</v>
      </c>
      <c r="H5" s="60" t="inlineStr">
        <is>
          <t>Daily update</t>
        </is>
      </c>
    </row>
    <row r="6">
      <c r="A6" s="75" t="inlineStr">
        <is>
          <t>2026-07-26T19:10:55+09:00</t>
        </is>
      </c>
      <c r="B6" s="77" t="n">
        <v>34</v>
      </c>
      <c r="C6" s="77" t="n">
        <v>25</v>
      </c>
      <c r="D6" s="77" t="n">
        <v>3</v>
      </c>
      <c r="E6" s="77" t="n">
        <v>45</v>
      </c>
      <c r="F6" s="77" t="n">
        <v>9</v>
      </c>
      <c r="G6" s="77" t="n">
        <v>194.65</v>
      </c>
      <c r="H6" s="60" t="inlineStr">
        <is>
          <t>Daily update</t>
        </is>
      </c>
    </row>
    <row r="7">
      <c r="A7" s="75" t="inlineStr">
        <is>
          <t>2026-07-26T19:05:06+09:00</t>
        </is>
      </c>
      <c r="B7" s="77" t="n">
        <v>33</v>
      </c>
      <c r="C7" s="77" t="n">
        <v>24</v>
      </c>
      <c r="D7" s="77" t="n">
        <v>5</v>
      </c>
      <c r="E7" s="77" t="n">
        <v>39</v>
      </c>
      <c r="F7" s="77" t="n">
        <v>9</v>
      </c>
      <c r="G7" s="77" t="n">
        <v>165.89</v>
      </c>
      <c r="H7" s="60" t="inlineStr">
        <is>
          <t>Daily update</t>
        </is>
      </c>
    </row>
    <row r="8">
      <c r="A8" s="75" t="inlineStr">
        <is>
          <t>2026-07-26T18:56:03+09:00</t>
        </is>
      </c>
      <c r="B8" s="77" t="n">
        <v>33</v>
      </c>
      <c r="C8" s="77" t="n">
        <v>20</v>
      </c>
      <c r="D8" s="77" t="n">
        <v>94</v>
      </c>
      <c r="E8" s="77" t="n">
        <v>0</v>
      </c>
      <c r="F8" s="77" t="n">
        <v>13</v>
      </c>
      <c r="G8" s="77" t="n">
        <v>129.43</v>
      </c>
      <c r="H8" s="60" t="inlineStr">
        <is>
          <t>Initial lookback</t>
        </is>
      </c>
    </row>
  </sheetData>
  <autoFilter ref="A3:H8"/>
  <mergeCells count="2">
    <mergeCell ref="A2:H2"/>
    <mergeCell ref="A1:H1"/>
  </mergeCells>
  <pageMargins left="0.7" right="0.7" top="0.75" bottom="0.75" header="0.3" footer="0.3"/>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2026-07-26T11:02:37Z</dcterms:created>
  <dcterms:modified xsi:type="dcterms:W3CDTF">2026-07-26T11:02:38Z</dcterms:modified>
</cp:coreProperties>
</file>