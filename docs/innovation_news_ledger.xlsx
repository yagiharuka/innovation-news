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Ledger'!$A$3:$O$56</definedName>
    <definedName name="_xlnm._FilterDatabase" localSheetId="2" hidden="1">'Source Registry'!$A$3:$K$37</definedName>
    <definedName name="_xlnm._FilterDatabase" localSheetId="3" hidden="1">'Run Log'!$A$3:$H$9</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0">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s>
  <fills count="8">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s>
  <borders count="11">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right style="thin">
        <color rgb="FFD7E0E5"/>
      </right>
      <top style="thin">
        <color rgb="FFD7E0E5"/>
      </top>
    </border>
  </borders>
  <cellStyleXfs count="1">
    <xf numFmtId="0" fontId="0" fillId="0" borderId="0"/>
  </cellStyleXfs>
  <cellXfs count="78">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56"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K37" headerRowCount="1" totalsRowCount="0" totalsRowShown="0">
  <autoFilter ref="A3:K37"/>
  <tableColumns count="11">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9"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scmp.com/business/china-business/article/3361876/lower-profit-margins-set-foil-chinese-carmakers-price-war-plans-despite-falling-sales?utm_source=rss_feed" TargetMode="External" Id="rId1" /><Relationship Type="http://schemas.openxmlformats.org/officeDocument/2006/relationships/hyperlink" Target="https://www.scmp.com/week-asia/economics/article/3361783/indonesias-plan-singapore-rival-starts-take-shape?utm_source=rss_feed" TargetMode="External" Id="rId2" /><Relationship Type="http://schemas.openxmlformats.org/officeDocument/2006/relationships/hyperlink" Target="https://news.samsung.com/global/samsung-electronics-and-broadcom-expand-strategic-collaboration-across-memory-and-foundry-technologies" TargetMode="External" Id="rId3" /><Relationship Type="http://schemas.openxmlformats.org/officeDocument/2006/relationships/hyperlink" Target="https://www.scmp.com/tech/policy/article/3361818/china-hits-tripcom-us765-million-antitrust-penalty-after-six-month-investigation?utm_source=rss_feed" TargetMode="External" Id="rId4" /><Relationship Type="http://schemas.openxmlformats.org/officeDocument/2006/relationships/hyperlink" Target="https://newsroom.intel.com/new-technologies/intel-and-lens-technology-collaborate-to-enable-advanced-semiconductor-packaging-for-the-ai-era" TargetMode="External" Id="rId5" /><Relationship Type="http://schemas.openxmlformats.org/officeDocument/2006/relationships/hyperlink" Target="https://blogs.nvidia.com/blog/ai-summit-korea-partners-and-nvidia/" TargetMode="External" Id="rId6" /><Relationship Type="http://schemas.openxmlformats.org/officeDocument/2006/relationships/hyperlink" Target="https://www.nature.com/articles/d41586-026-02268-z" TargetMode="External" Id="rId7" /><Relationship Type="http://schemas.openxmlformats.org/officeDocument/2006/relationships/hyperlink" Target="https://www.technologyreview.com/2026/07/23/1140765/supercooled-kidneys-have-been-transplanted-into-pigs-in-a-landmark-achievement/" TargetMode="External" Id="rId8" /><Relationship Type="http://schemas.openxmlformats.org/officeDocument/2006/relationships/hyperlink" Target="https://www.theguardian.com/film/2026/jul/23/how-2020s-decade-revolutionised-cinema" TargetMode="External" Id="rId9" /><Relationship Type="http://schemas.openxmlformats.org/officeDocument/2006/relationships/hyperlink" Target="https://www.scmp.com/tech/policy/article/3361622/us-eyes-ban-chinese-humanoid-robots-us-china-tech-rivalry-intensifies?utm_source=rss_feed" TargetMode="External" Id="rId10" /><Relationship Type="http://schemas.openxmlformats.org/officeDocument/2006/relationships/hyperlink" Target="https://www.scmp.com/tech/tech-trends/article/3361596/chinas-tech-firms-turn-global-ai-boom-opportunity-amid-fierce-rivalry-home?utm_source=rss_feed" TargetMode="External" Id="rId11" /><Relationship Type="http://schemas.openxmlformats.org/officeDocument/2006/relationships/hyperlink" Target="https://www.bruegel.org/node/12451" TargetMode="External" Id="rId12" /><Relationship Type="http://schemas.openxmlformats.org/officeDocument/2006/relationships/hyperlink" Target="https://blogs.nvidia.com/blog/naval-postgraduate-school-dgx-ai-supercomputer/" TargetMode="External" Id="rId13" /><Relationship Type="http://schemas.openxmlformats.org/officeDocument/2006/relationships/hyperlink" Target="https://www.brookings.edu/articles/how-tech-firms-should-address-job-concerns-and-skill-development/" TargetMode="External" Id="rId14" /><Relationship Type="http://schemas.openxmlformats.org/officeDocument/2006/relationships/hyperlink" Target="https://openai.com/index/health-in-chatgpt" TargetMode="External" Id="rId15" /><Relationship Type="http://schemas.openxmlformats.org/officeDocument/2006/relationships/hyperlink" Target="https://www.gov.uk/government/publications/women-in-research-charter" TargetMode="External" Id="rId16" /><Relationship Type="http://schemas.openxmlformats.org/officeDocument/2006/relationships/hyperlink" Target="https://www.energy.gov/articles/secretary-energy-chris-wright-announces-first-genesis-mission-projects-selected-accelerate" TargetMode="External" Id="rId17" /><Relationship Type="http://schemas.openxmlformats.org/officeDocument/2006/relationships/hyperlink" Target="https://cset.georgetown.edu/article/remarks-at-the-global-nobel-laureates-assembly-on-artificial-intelligence-and-nuclear-war/" TargetMode="External" Id="rId18" /><Relationship Type="http://schemas.openxmlformats.org/officeDocument/2006/relationships/hyperlink" Target="https://www.gov.uk/government/publications/consult-register-your-interest" TargetMode="External" Id="rId19" /><Relationship Type="http://schemas.openxmlformats.org/officeDocument/2006/relationships/hyperlink" Target="https://www.nsf.gov/news/statement-nsf-chief-staff-brian-stone-performing-duties-nsf-1" TargetMode="External" Id="rId20" /><Relationship Type="http://schemas.openxmlformats.org/officeDocument/2006/relationships/hyperlink" Target="https://www.nsf.gov/news/new-nsf-initiative-aims-unlock-dataset-value-ai-enabled" TargetMode="External" Id="rId21" /><Relationship Type="http://schemas.openxmlformats.org/officeDocument/2006/relationships/hyperlink" Target="https://www.nsf.gov/news/nsf-announces-83m-investment-integrated-data-systems" TargetMode="External" Id="rId22" /><Relationship Type="http://schemas.openxmlformats.org/officeDocument/2006/relationships/hyperlink" Target="https://openai.com/index/building-ai-infrastructure-with-the-effingham-county-community" TargetMode="External" Id="rId23" /><Relationship Type="http://schemas.openxmlformats.org/officeDocument/2006/relationships/hyperlink" Target="https://openai.com/index/how-news-organizations-are-using-ai" TargetMode="External" Id="rId24" /><Relationship Type="http://schemas.openxmlformats.org/officeDocument/2006/relationships/hyperlink" Target="https://www.nist.gov/news-events/news/2026/07/nist-announces-funding-opportunity-14-mep-centers-advance-small-and-medium" TargetMode="External" Id="rId25" /><Relationship Type="http://schemas.openxmlformats.org/officeDocument/2006/relationships/hyperlink" Target="https://openai.com/index/advancing-the-next-era-of-national-science" TargetMode="External" Id="rId26" /><Relationship Type="http://schemas.openxmlformats.org/officeDocument/2006/relationships/hyperlink" Target="https://openai.com/index/introducing-openai-presence" TargetMode="External" Id="rId27" /><Relationship Type="http://schemas.openxmlformats.org/officeDocument/2006/relationships/hyperlink" Target="https://openai.com/index/ntt-data" TargetMode="External" Id="rId28" /><Relationship Type="http://schemas.openxmlformats.org/officeDocument/2006/relationships/hyperlink" Target="https://www.nature.com/articles/s41586-026-10832-w" TargetMode="External" Id="rId29" /><Relationship Type="http://schemas.openxmlformats.org/officeDocument/2006/relationships/hyperlink" Target="https://blogs.nvidia.com/blog/wistron-manufacturing-texas/" TargetMode="External" Id="rId30"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31" /><Relationship Type="http://schemas.openxmlformats.org/officeDocument/2006/relationships/hyperlink" Target="https://www.gov.uk/government/publications/dsit-workforce-management-information-june-2026" TargetMode="External" Id="rId32" /><Relationship Type="http://schemas.openxmlformats.org/officeDocument/2006/relationships/hyperlink" Target="https://www.gov.uk/government/publications/techlocal" TargetMode="External" Id="rId33" /><Relationship Type="http://schemas.openxmlformats.org/officeDocument/2006/relationships/hyperlink" Target="https://www.gov.uk/guidance/techexpert" TargetMode="External" Id="rId34" /><Relationship Type="http://schemas.openxmlformats.org/officeDocument/2006/relationships/hyperlink" Target="https://www.gov.uk/guidance/techfirst" TargetMode="External" Id="rId35" /><Relationship Type="http://schemas.openxmlformats.org/officeDocument/2006/relationships/hyperlink" Target="https://www.gov.uk/government/publications/fixed-telecoms-modernisation-charter" TargetMode="External" Id="rId36" /><Relationship Type="http://schemas.openxmlformats.org/officeDocument/2006/relationships/hyperlink" Target="https://www.fusionindustryassociation.org/fia-outlines-eu-financing-pathway-for-fusion/?utm_source=rss&amp;utm_medium=rss&amp;utm_campaign=fia-outlines-eu-financing-pathway-for-fusion" TargetMode="External" Id="rId37" /><Relationship Type="http://schemas.openxmlformats.org/officeDocument/2006/relationships/hyperlink" Target="https://cset.georgetown.edu/article/why-do-ai-systems-misbehave/" TargetMode="External" Id="rId38" /><Relationship Type="http://schemas.openxmlformats.org/officeDocument/2006/relationships/hyperlink" Target="https://www.technologyreview.com/2026/07/21/1140685/the-download-chinese-ai-divides-white-house-anthropic-copyright-settlement/" TargetMode="External" Id="rId39" /><Relationship Type="http://schemas.openxmlformats.org/officeDocument/2006/relationships/hyperlink" Target="https://openai.com/index/hugging-face-model-evaluation-security-incident" TargetMode="External" Id="rId40" /><Relationship Type="http://schemas.openxmlformats.org/officeDocument/2006/relationships/hyperlink" Target="https://event.on24.com/wcc/r/5418459/287E3D5B99470D34C830D69A24B3B207" TargetMode="External" Id="rId41" /><Relationship Type="http://schemas.openxmlformats.org/officeDocument/2006/relationships/hyperlink" Target="https://www.who.int/news/item/20-07-2026-who-member-states-continue-negotiations-on-the-pathogen-access-and-benefit-sharing-annex" TargetMode="External" Id="rId42" /><Relationship Type="http://schemas.openxmlformats.org/officeDocument/2006/relationships/hyperlink" Target="https://www.fusionindustryassociation.org/fia-launches-the-2026-global-fusion-industry-report-in-new-york-city-washington-d-c-and-london/?utm_source=rss&amp;utm_medium=rss&amp;utm_campaign=fia-launches-the-2026-global-fusion-industry-report-in-new-york-city-washington-d-c-and-london" TargetMode="External" Id="rId43"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44" /><Relationship Type="http://schemas.openxmlformats.org/officeDocument/2006/relationships/hyperlink" Target="https://cset.georgetown.edu/article/meet-gpt-red-an-llm-super-hacker-openai-built-to-make-its-models-safer/" TargetMode="External" Id="rId45" /><Relationship Type="http://schemas.openxmlformats.org/officeDocument/2006/relationships/hyperlink" Target="https://www.nikkei.com/article/DGXZQOUC152ET0V10C26A7000000/#new_tab?utm_source=rss&amp;utm_medium=rss&amp;utm_campaign=starlight-engine-raises-jpy-6-06-billion" TargetMode="External" Id="rId46"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47" /><Relationship Type="http://schemas.openxmlformats.org/officeDocument/2006/relationships/hyperlink" Target="https://www.who.int/news/item/15-07-2026-global-childhood-immunization-coverage-inches-forward-despite-conflict-and-hesitancy---unicef--who" TargetMode="External" Id="rId48" /><Relationship Type="http://schemas.openxmlformats.org/officeDocument/2006/relationships/hyperlink" Target="https://www.nist.gov/news-events/news/2026/07/nist-receives-new-patent-microbe-killing-water-heater" TargetMode="External" Id="rId49" /><Relationship Type="http://schemas.openxmlformats.org/officeDocument/2006/relationships/hyperlink" Target="https://cset.georgetown.edu/article/washington-is-looking-to-keep-china-from-training-its-ai-on-us-models/" TargetMode="External" Id="rId50" /><Relationship Type="http://schemas.openxmlformats.org/officeDocument/2006/relationships/hyperlink" Target="https://www.microsoft.com/en-us/research/blog/verifying-rust-cryptography-in-symcrypt-from-standards-to-code/" TargetMode="External" Id="rId51" /><Relationship Type="http://schemas.openxmlformats.org/officeDocument/2006/relationships/hyperlink" Target="https://newsroom.intel.com/intel-foundry/intel-invests-5-billion-euro-to-expand-manufacturing-in-europe" TargetMode="External" Id="rId52" /><Relationship Type="http://schemas.openxmlformats.org/officeDocument/2006/relationships/hyperlink" Target="https://cset.georgetown.edu/article/companies-turn-to-chinese-ai-models-to-cut-costs/" TargetMode="External" Id="rId53" /><Relationship Type="http://schemas.openxmlformats.org/officeDocument/2006/relationships/table" Target="/xl/tables/table1.xml" Id="rId54"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www.theguardian.com/technology/rss" TargetMode="External" Id="rId5" /><Relationship Type="http://schemas.openxmlformats.org/officeDocument/2006/relationships/hyperlink" Target="https://www.theguardian.com/technology" TargetMode="External" Id="rId6" /><Relationship Type="http://schemas.openxmlformats.org/officeDocument/2006/relationships/hyperlink" Target="https://www.technologyreview.com/feed/" TargetMode="External" Id="rId7" /><Relationship Type="http://schemas.openxmlformats.org/officeDocument/2006/relationships/hyperlink" Target="https://www.technologyreview.com/" TargetMode="External" Id="rId8" /><Relationship Type="http://schemas.openxmlformats.org/officeDocument/2006/relationships/hyperlink" Target="https://spectrum.ieee.org/feeds/feed.rss" TargetMode="External" Id="rId9" /><Relationship Type="http://schemas.openxmlformats.org/officeDocument/2006/relationships/hyperlink" Target="https://spectrum.ieee.org/" TargetMode="External" Id="rId10" /><Relationship Type="http://schemas.openxmlformats.org/officeDocument/2006/relationships/hyperlink" Target="https://www.nature.com/nature.rss" TargetMode="External" Id="rId11" /><Relationship Type="http://schemas.openxmlformats.org/officeDocument/2006/relationships/hyperlink" Target="https://www.nature.com/" TargetMode="External" Id="rId12" /><Relationship Type="http://schemas.openxmlformats.org/officeDocument/2006/relationships/hyperlink" Target="https://www.science.org/action/showFeed?type=etoc&amp;feed=rss&amp;jc=science" TargetMode="External" Id="rId13" /><Relationship Type="http://schemas.openxmlformats.org/officeDocument/2006/relationships/hyperlink" Target="https://www.science.org/" TargetMode="External" Id="rId14" /><Relationship Type="http://schemas.openxmlformats.org/officeDocument/2006/relationships/hyperlink" Target="https://www.scmp.com/rss/36/feed" TargetMode="External" Id="rId15" /><Relationship Type="http://schemas.openxmlformats.org/officeDocument/2006/relationships/hyperlink" Target="https://www.scmp.com/tech" TargetMode="External" Id="rId16" /><Relationship Type="http://schemas.openxmlformats.org/officeDocument/2006/relationships/hyperlink" Target="https://www.arabnews.com/taxonomy/term/2936/feed" TargetMode="External" Id="rId17" /><Relationship Type="http://schemas.openxmlformats.org/officeDocument/2006/relationships/hyperlink" Target="https://www.arabnews.com/tags/technology" TargetMode="External" Id="rId18" /><Relationship Type="http://schemas.openxmlformats.org/officeDocument/2006/relationships/hyperlink" Target="https://www.thenationalnews.com/arc/outboundfeeds/rss/category/future/technology/?outputType=xml" TargetMode="External" Id="rId19" /><Relationship Type="http://schemas.openxmlformats.org/officeDocument/2006/relationships/hyperlink" Target="https://www.thenationalnews.com/future/technology/" TargetMode="External" Id="rId20" /><Relationship Type="http://schemas.openxmlformats.org/officeDocument/2006/relationships/hyperlink" Target="https://www.brookings.edu/tags/techtank/" TargetMode="External" Id="rId21" /><Relationship Type="http://schemas.openxmlformats.org/officeDocument/2006/relationships/hyperlink" Target="https://www.brookings.edu/tags/techtank/" TargetMode="External" Id="rId22" /><Relationship Type="http://schemas.openxmlformats.org/officeDocument/2006/relationships/hyperlink" Target="https://www.csis.org/rss.xml" TargetMode="External" Id="rId23" /><Relationship Type="http://schemas.openxmlformats.org/officeDocument/2006/relationships/hyperlink" Target="https://www.csis.org/analysis" TargetMode="External" Id="rId24" /><Relationship Type="http://schemas.openxmlformats.org/officeDocument/2006/relationships/hyperlink" Target="https://cset.georgetown.edu/feed/" TargetMode="External" Id="rId25" /><Relationship Type="http://schemas.openxmlformats.org/officeDocument/2006/relationships/hyperlink" Target="https://cset.georgetown.edu/" TargetMode="External" Id="rId26" /><Relationship Type="http://schemas.openxmlformats.org/officeDocument/2006/relationships/hyperlink" Target="https://www.bruegel.org/rss.xml" TargetMode="External" Id="rId27" /><Relationship Type="http://schemas.openxmlformats.org/officeDocument/2006/relationships/hyperlink" Target="https://www.bruegel.org/" TargetMode="External" Id="rId28" /><Relationship Type="http://schemas.openxmlformats.org/officeDocument/2006/relationships/hyperlink" Target="https://merics.org/en/rss.xml" TargetMode="External" Id="rId29" /><Relationship Type="http://schemas.openxmlformats.org/officeDocument/2006/relationships/hyperlink" Target="https://merics.org/en" TargetMode="External" Id="rId30" /><Relationship Type="http://schemas.openxmlformats.org/officeDocument/2006/relationships/hyperlink" Target="https://www.nsf.gov/rss/rss_www_news.xml" TargetMode="External" Id="rId31" /><Relationship Type="http://schemas.openxmlformats.org/officeDocument/2006/relationships/hyperlink" Target="https://www.nsf.gov/news" TargetMode="External" Id="rId32" /><Relationship Type="http://schemas.openxmlformats.org/officeDocument/2006/relationships/hyperlink" Target="https://www.nist.gov/news-events/news/rss.xml" TargetMode="External" Id="rId33" /><Relationship Type="http://schemas.openxmlformats.org/officeDocument/2006/relationships/hyperlink" Target="https://www.nist.gov/news-events/news" TargetMode="External" Id="rId34" /><Relationship Type="http://schemas.openxmlformats.org/officeDocument/2006/relationships/hyperlink" Target="https://www.nih.gov/news-events/news-releases/rss.xml" TargetMode="External" Id="rId35" /><Relationship Type="http://schemas.openxmlformats.org/officeDocument/2006/relationships/hyperlink" Target="https://www.nih.gov/news-events/news-releases" TargetMode="External" Id="rId36" /><Relationship Type="http://schemas.openxmlformats.org/officeDocument/2006/relationships/hyperlink" Target="https://www.energy.gov/rss/science/3662436" TargetMode="External" Id="rId37" /><Relationship Type="http://schemas.openxmlformats.org/officeDocument/2006/relationships/hyperlink" Target="https://www.energy.gov/science/listings/office-science-news" TargetMode="External" Id="rId38" /><Relationship Type="http://schemas.openxmlformats.org/officeDocument/2006/relationships/hyperlink" Target="https://ec.europa.eu/commission/presscorner/api/rss?language=en&amp;documenttype=press_release" TargetMode="External" Id="rId39" /><Relationship Type="http://schemas.openxmlformats.org/officeDocument/2006/relationships/hyperlink" Target="https://ec.europa.eu/commission/presscorner/home/en" TargetMode="External" Id="rId40" /><Relationship Type="http://schemas.openxmlformats.org/officeDocument/2006/relationships/hyperlink" Target="https://www.gov.uk/government/organisations/department-for-science-innovation-and-technology.atom" TargetMode="External" Id="rId41" /><Relationship Type="http://schemas.openxmlformats.org/officeDocument/2006/relationships/hyperlink" Target="https://www.gov.uk/government/organisations/department-for-science-innovation-and-technology" TargetMode="External" Id="rId42" /><Relationship Type="http://schemas.openxmlformats.org/officeDocument/2006/relationships/hyperlink" Target="https://www.meti.go.jp/english/press/index.rdf" TargetMode="External" Id="rId43" /><Relationship Type="http://schemas.openxmlformats.org/officeDocument/2006/relationships/hyperlink" Target="https://www.meti.go.jp/english/press/index.html" TargetMode="External" Id="rId44" /><Relationship Type="http://schemas.openxmlformats.org/officeDocument/2006/relationships/hyperlink" Target="https://www.who.int/rss-feeds/news-english.xml" TargetMode="External" Id="rId45" /><Relationship Type="http://schemas.openxmlformats.org/officeDocument/2006/relationships/hyperlink" Target="https://www.who.int/news" TargetMode="External" Id="rId46" /><Relationship Type="http://schemas.openxmlformats.org/officeDocument/2006/relationships/hyperlink" Target="https://www.iea.org/rss/news.xml" TargetMode="External" Id="rId47" /><Relationship Type="http://schemas.openxmlformats.org/officeDocument/2006/relationships/hyperlink" Target="https://www.iea.org/news" TargetMode="External" Id="rId48" /><Relationship Type="http://schemas.openxmlformats.org/officeDocument/2006/relationships/hyperlink" Target="https://www.oecd.org/newsroom/rss.xml" TargetMode="External" Id="rId49" /><Relationship Type="http://schemas.openxmlformats.org/officeDocument/2006/relationships/hyperlink" Target="https://www.oecd.org/newsroom/" TargetMode="External" Id="rId50" /><Relationship Type="http://schemas.openxmlformats.org/officeDocument/2006/relationships/hyperlink" Target="https://openai.com/news/rss.xml" TargetMode="External" Id="rId51" /><Relationship Type="http://schemas.openxmlformats.org/officeDocument/2006/relationships/hyperlink" Target="https://openai.com/news/" TargetMode="External" Id="rId52" /><Relationship Type="http://schemas.openxmlformats.org/officeDocument/2006/relationships/hyperlink" Target="https://blog.google/technology/ai/rss/" TargetMode="External" Id="rId53" /><Relationship Type="http://schemas.openxmlformats.org/officeDocument/2006/relationships/hyperlink" Target="https://blog.google/technology/ai/" TargetMode="External" Id="rId54" /><Relationship Type="http://schemas.openxmlformats.org/officeDocument/2006/relationships/hyperlink" Target="https://blogs.nvidia.com/feed/" TargetMode="External" Id="rId55" /><Relationship Type="http://schemas.openxmlformats.org/officeDocument/2006/relationships/hyperlink" Target="https://blogs.nvidia.com/" TargetMode="External" Id="rId56" /><Relationship Type="http://schemas.openxmlformats.org/officeDocument/2006/relationships/hyperlink" Target="https://newsroom.intel.com/feed" TargetMode="External" Id="rId57" /><Relationship Type="http://schemas.openxmlformats.org/officeDocument/2006/relationships/hyperlink" Target="https://newsroom.intel.com/" TargetMode="External" Id="rId58" /><Relationship Type="http://schemas.openxmlformats.org/officeDocument/2006/relationships/hyperlink" Target="https://research.ibm.com/blog/rss.xml" TargetMode="External" Id="rId59" /><Relationship Type="http://schemas.openxmlformats.org/officeDocument/2006/relationships/hyperlink" Target="https://research.ibm.com/blog" TargetMode="External" Id="rId60" /><Relationship Type="http://schemas.openxmlformats.org/officeDocument/2006/relationships/hyperlink" Target="https://www.microsoft.com/en-us/research/feed/" TargetMode="External" Id="rId61" /><Relationship Type="http://schemas.openxmlformats.org/officeDocument/2006/relationships/hyperlink" Target="https://www.microsoft.com/en-us/research/blog/" TargetMode="External" Id="rId62" /><Relationship Type="http://schemas.openxmlformats.org/officeDocument/2006/relationships/hyperlink" Target="https://news.samsung.com/global/feed" TargetMode="External" Id="rId63" /><Relationship Type="http://schemas.openxmlformats.org/officeDocument/2006/relationships/hyperlink" Target="https://news.samsung.com/global/" TargetMode="External" Id="rId64" /><Relationship Type="http://schemas.openxmlformats.org/officeDocument/2006/relationships/hyperlink" Target="https://www.iter.org/news" TargetMode="External" Id="rId65" /><Relationship Type="http://schemas.openxmlformats.org/officeDocument/2006/relationships/hyperlink" Target="https://www.iter.org/news" TargetMode="External" Id="rId66" /><Relationship Type="http://schemas.openxmlformats.org/officeDocument/2006/relationships/hyperlink" Target="https://www.fusionindustryassociation.org/feed/" TargetMode="External" Id="rId67" /><Relationship Type="http://schemas.openxmlformats.org/officeDocument/2006/relationships/hyperlink" Target="https://www.fusionindustryassociation.org/" TargetMode="External" Id="rId68" /><Relationship Type="http://schemas.openxmlformats.org/officeDocument/2006/relationships/table" Target="/xl/tables/table2.xml" Id="rId6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67" t="inlineStr">
        <is>
          <t>Global innovation policy and emerging-technology ledger</t>
        </is>
      </c>
      <c r="B2" s="68" t="n"/>
      <c r="C2" s="68" t="n"/>
      <c r="D2" s="68" t="n"/>
      <c r="E2" s="68" t="n"/>
      <c r="F2" s="68" t="n"/>
      <c r="G2" s="68" t="n"/>
      <c r="H2" s="69"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2026-07-26T20:13:43+09:00</t>
        </is>
      </c>
      <c r="C5" s="46" t="n"/>
      <c r="D5" s="25" t="inlineStr">
        <is>
          <t>United States</t>
        </is>
      </c>
      <c r="E5" s="70">
        <f>COUNTIF('News Ledger'!$C$4:$C$10003,D5)</f>
        <v/>
      </c>
      <c r="F5" s="46" t="n"/>
      <c r="G5" s="25" t="inlineStr">
        <is>
          <t>Innovation Policy</t>
        </is>
      </c>
      <c r="H5" s="70">
        <f>COUNTIF('News Ledger'!$E$4:$E$10003,"*Innovation Policy*")</f>
        <v/>
      </c>
    </row>
    <row r="6">
      <c r="A6" s="29" t="inlineStr">
        <is>
          <t>Ledger articles</t>
        </is>
      </c>
      <c r="B6" s="71">
        <f>COUNTA('News Ledger'!$I$4:$I$10003)</f>
        <v/>
      </c>
      <c r="C6" s="46" t="n"/>
      <c r="D6" s="26" t="inlineStr">
        <is>
          <t>Asia</t>
        </is>
      </c>
      <c r="E6" s="72">
        <f>COUNTIF('News Ledger'!$C$4:$C$10003,D6)</f>
        <v/>
      </c>
      <c r="F6" s="46" t="n"/>
      <c r="G6" s="26" t="inlineStr">
        <is>
          <t>Artificial Intelligence</t>
        </is>
      </c>
      <c r="H6" s="72">
        <f>COUNTIF('News Ledger'!$E$4:$E$10003,"*Artificial Intelligence*")</f>
        <v/>
      </c>
    </row>
    <row r="7">
      <c r="A7" s="29" t="inlineStr">
        <is>
          <t>Policy score 3+</t>
        </is>
      </c>
      <c r="B7" s="71">
        <f>COUNTIF('News Ledger'!$F$4:$F$10003,"&gt;=3")</f>
        <v/>
      </c>
      <c r="C7" s="46" t="n"/>
      <c r="D7" s="26" t="inlineStr">
        <is>
          <t>EU &amp; Europe</t>
        </is>
      </c>
      <c r="E7" s="72">
        <f>COUNTIF('News Ledger'!$C$4:$C$10003,D7)</f>
        <v/>
      </c>
      <c r="F7" s="46" t="n"/>
      <c r="G7" s="26" t="inlineStr">
        <is>
          <t>Robotics</t>
        </is>
      </c>
      <c r="H7" s="72">
        <f>COUNTIF('News Ledger'!$E$4:$E$10003,"*Robotics*")</f>
        <v/>
      </c>
    </row>
    <row r="8">
      <c r="A8" s="30" t="inlineStr">
        <is>
          <t>Active sources</t>
        </is>
      </c>
      <c r="B8" s="71">
        <f>COUNTIF('Source Registry'!$A$4:$A$103,"Yes")</f>
        <v/>
      </c>
      <c r="C8" s="46" t="n"/>
      <c r="D8" s="26" t="inlineStr">
        <is>
          <t>Middle East</t>
        </is>
      </c>
      <c r="E8" s="72">
        <f>COUNTIF('News Ledger'!$C$4:$C$10003,D8)</f>
        <v/>
      </c>
      <c r="F8" s="46" t="n"/>
      <c r="G8" s="26" t="inlineStr">
        <is>
          <t>Semiconductors &amp; Telecom</t>
        </is>
      </c>
      <c r="H8" s="72">
        <f>COUNTIF('News Ledger'!$E$4:$E$10003,"*Semiconductors &amp; Telecom*")</f>
        <v/>
      </c>
    </row>
    <row r="9">
      <c r="A9" s="46" t="n"/>
      <c r="B9" s="46" t="n"/>
      <c r="C9" s="46" t="n"/>
      <c r="D9" s="27" t="inlineStr">
        <is>
          <t>Global</t>
        </is>
      </c>
      <c r="E9" s="73">
        <f>COUNTIF('News Ledger'!$C$4:$C$10003,D9)</f>
        <v/>
      </c>
      <c r="F9" s="46" t="n"/>
      <c r="G9" s="26" t="inlineStr">
        <is>
          <t>Quantum</t>
        </is>
      </c>
      <c r="H9" s="72">
        <f>COUNTIF('News Ledger'!$E$4:$E$10003,"*Quantum*")</f>
        <v/>
      </c>
    </row>
    <row r="10">
      <c r="A10" s="46" t="n"/>
      <c r="B10" s="46" t="n"/>
      <c r="C10" s="46" t="n"/>
      <c r="D10" s="46" t="n"/>
      <c r="E10" s="46" t="n"/>
      <c r="F10" s="46" t="n"/>
      <c r="G10" s="26" t="inlineStr">
        <is>
          <t>Fusion Energy</t>
        </is>
      </c>
      <c r="H10" s="72">
        <f>COUNTIF('News Ledger'!$E$4:$E$10003,"*Fusion Energy*")</f>
        <v/>
      </c>
    </row>
    <row r="11">
      <c r="A11" s="46" t="n"/>
      <c r="B11" s="46" t="n"/>
      <c r="C11" s="46" t="n"/>
      <c r="D11" s="46" t="n"/>
      <c r="E11" s="46" t="n"/>
      <c r="F11" s="46" t="n"/>
      <c r="G11" s="26" t="inlineStr">
        <is>
          <t>Biotechnology</t>
        </is>
      </c>
      <c r="H11" s="72">
        <f>COUNTIF('News Ledger'!$E$4:$E$10003,"*Biotechnology*")</f>
        <v/>
      </c>
    </row>
    <row r="12">
      <c r="A12" s="46" t="n"/>
      <c r="B12" s="46" t="n"/>
      <c r="C12" s="46" t="n"/>
      <c r="D12" s="46" t="n"/>
      <c r="E12" s="46" t="n"/>
      <c r="F12" s="46" t="n"/>
      <c r="G12" s="27" t="inlineStr">
        <is>
          <t>Healthcare</t>
        </is>
      </c>
      <c r="H12" s="73">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74" t="n"/>
      <c r="C15" s="74" t="n"/>
      <c r="D15" s="74" t="n"/>
      <c r="E15" s="74" t="n"/>
      <c r="F15" s="74" t="n"/>
      <c r="G15" s="74" t="n"/>
      <c r="H15" s="74" t="n"/>
    </row>
    <row r="16" ht="28" customHeight="1">
      <c r="A16" s="45" t="inlineStr">
        <is>
          <t>2. Policy relevance is scored 0–5 from source type and policy terms.</t>
        </is>
      </c>
      <c r="B16" s="74" t="n"/>
      <c r="C16" s="74" t="n"/>
      <c r="D16" s="74" t="n"/>
      <c r="E16" s="74" t="n"/>
      <c r="F16" s="74" t="n"/>
      <c r="G16" s="74" t="n"/>
      <c r="H16" s="74" t="n"/>
    </row>
    <row r="17" ht="28" customHeight="1">
      <c r="A17" s="45" t="inlineStr">
        <is>
          <t>3. Canonical URLs and title fingerprints remove repeat coverage.</t>
        </is>
      </c>
      <c r="B17" s="74" t="n"/>
      <c r="C17" s="74" t="n"/>
      <c r="D17" s="74" t="n"/>
      <c r="E17" s="74" t="n"/>
      <c r="F17" s="74" t="n"/>
      <c r="G17" s="74" t="n"/>
      <c r="H17" s="74" t="n"/>
    </row>
    <row r="18" ht="28" customHeight="1">
      <c r="A18" s="45" t="inlineStr">
        <is>
          <t>4. Source Registry is an allowlist; anonymous blogs and content farms are excluded.</t>
        </is>
      </c>
      <c r="B18" s="74" t="n"/>
      <c r="C18" s="74" t="n"/>
      <c r="D18" s="74" t="n"/>
      <c r="E18" s="74" t="n"/>
      <c r="F18" s="74" t="n"/>
      <c r="G18" s="74" t="n"/>
      <c r="H18" s="74"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56"/>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67" t="inlineStr">
        <is>
          <t>Master article ledger with canonical-URL and title-fingerprint deduplication</t>
        </is>
      </c>
      <c r="B2" s="68" t="n"/>
      <c r="C2" s="68" t="n"/>
      <c r="D2" s="68" t="n"/>
      <c r="E2" s="68" t="n"/>
      <c r="F2" s="68" t="n"/>
      <c r="G2" s="68" t="n"/>
      <c r="H2" s="68" t="n"/>
      <c r="I2" s="68" t="n"/>
      <c r="J2" s="68" t="n"/>
      <c r="K2" s="68" t="n"/>
      <c r="L2" s="68" t="n"/>
      <c r="M2" s="68" t="n"/>
      <c r="N2" s="68" t="n"/>
      <c r="O2" s="69"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75" t="inlineStr">
        <is>
          <t>2026-07-26T19:51:39+09:00</t>
        </is>
      </c>
      <c r="B4" s="75" t="inlineStr">
        <is>
          <t>2026-07-26T08:00:09Z</t>
        </is>
      </c>
      <c r="C4" s="60" t="inlineStr">
        <is>
          <t>Asia</t>
        </is>
      </c>
      <c r="D4" s="60" t="inlineStr">
        <is>
          <t>Hong Kong</t>
        </is>
      </c>
      <c r="E4" s="60" t="inlineStr">
        <is>
          <t>Innovation Policy</t>
        </is>
      </c>
      <c r="F4" s="76" t="n">
        <v>1</v>
      </c>
      <c r="G4" s="60" t="inlineStr">
        <is>
          <t>Major Media</t>
        </is>
      </c>
      <c r="H4" s="60" t="inlineStr">
        <is>
          <t>South China Morning Post Technology</t>
        </is>
      </c>
      <c r="I4" s="60" t="inlineStr">
        <is>
          <t>利益率の低下が中国自動車メーカーの価格戦争計画を阻む</t>
        </is>
      </c>
      <c r="J4" s="60" t="inlineStr">
        <is>
          <t>中国の自動車メーカーが利益率の低下に直面し、価格戦争の計画が難航している。</t>
        </is>
      </c>
      <c r="K4" s="60" t="inlineStr">
        <is>
          <t>https://www.scmp.com/business/china-business/article/3361876/lower-profit-margins-set-foil-chinese-carmakers-price-war-plans-despite-falling-sales?utm_source=rss_feed</t>
        </is>
      </c>
      <c r="L4" s="60" t="inlineStr">
        <is>
          <t>edcae2eaed3f6ecc6f59640c</t>
        </is>
      </c>
      <c r="M4" s="75" t="inlineStr">
        <is>
          <t>2026-07-26T19:51:39+09:00</t>
        </is>
      </c>
      <c r="N4" s="60" t="inlineStr">
        <is>
          <t>New</t>
        </is>
      </c>
      <c r="O4" s="60" t="inlineStr"/>
    </row>
    <row r="5" ht="42" customHeight="1">
      <c r="A5" s="75" t="inlineStr">
        <is>
          <t>2026-07-26T19:51:39+09:00</t>
        </is>
      </c>
      <c r="B5" s="75" t="inlineStr">
        <is>
          <t>2026-07-26T00:00:14Z</t>
        </is>
      </c>
      <c r="C5" s="60" t="inlineStr">
        <is>
          <t>Asia</t>
        </is>
      </c>
      <c r="D5" s="60" t="inlineStr">
        <is>
          <t>Hong Kong</t>
        </is>
      </c>
      <c r="E5" s="60" t="inlineStr">
        <is>
          <t>Innovation Policy</t>
        </is>
      </c>
      <c r="F5" s="76" t="n">
        <v>2</v>
      </c>
      <c r="G5" s="60" t="inlineStr">
        <is>
          <t>Major Media</t>
        </is>
      </c>
      <c r="H5" s="60" t="inlineStr">
        <is>
          <t>South China Morning Post Technology</t>
        </is>
      </c>
      <c r="I5" s="60" t="inlineStr">
        <is>
          <t>インドネシアのシンガポール対抗計画が具体化</t>
        </is>
      </c>
      <c r="J5" s="60" t="inlineStr">
        <is>
          <t>インドネシアがシンガポールや香港に対抗する金融センターの設立を目指し、法的基盤が整備された。</t>
        </is>
      </c>
      <c r="K5" s="60" t="inlineStr">
        <is>
          <t>https://www.scmp.com/week-asia/economics/article/3361783/indonesias-plan-singapore-rival-starts-take-shape?utm_source=rss_feed</t>
        </is>
      </c>
      <c r="L5" s="60" t="inlineStr">
        <is>
          <t>f74daba2783d19d5f5ff6719</t>
        </is>
      </c>
      <c r="M5" s="75" t="inlineStr">
        <is>
          <t>2026-07-26T19:51:39+09:00</t>
        </is>
      </c>
      <c r="N5" s="60" t="inlineStr">
        <is>
          <t>New</t>
        </is>
      </c>
      <c r="O5" s="60" t="inlineStr"/>
    </row>
    <row r="6" ht="42" customHeight="1">
      <c r="A6" s="75" t="inlineStr">
        <is>
          <t>2026-07-26T18:56:03+09:00</t>
        </is>
      </c>
      <c r="B6" s="75" t="inlineStr">
        <is>
          <t>2026-07-25T14:32:00Z</t>
        </is>
      </c>
      <c r="C6" s="60" t="inlineStr">
        <is>
          <t>Asia</t>
        </is>
      </c>
      <c r="D6" s="60" t="inlineStr">
        <is>
          <t>South Korea</t>
        </is>
      </c>
      <c r="E6" s="60" t="inlineStr">
        <is>
          <t>Semiconductors &amp; Telecom</t>
        </is>
      </c>
      <c r="F6" s="76" t="n">
        <v>3</v>
      </c>
      <c r="G6" s="60" t="inlineStr">
        <is>
          <t>Official Company</t>
        </is>
      </c>
      <c r="H6" s="60" t="inlineStr">
        <is>
          <t>Samsung Global Newsroom</t>
        </is>
      </c>
      <c r="I6" s="60" t="inlineStr">
        <is>
          <t>サムスン電子とブロードコムがメモリとファウンドリ技術での戦略的協力を拡大</t>
        </is>
      </c>
      <c r="J6" s="60" t="inlineStr">
        <is>
          <t>サムスン電子とブロードコムが、次世代AIインフラを支えるためのメモリとファウンドリ技術に関する戦略的協力を拡大することを発表しました。</t>
        </is>
      </c>
      <c r="K6" s="60" t="inlineStr">
        <is>
          <t>https://news.samsung.com/global/samsung-electronics-and-broadcom-expand-strategic-collaboration-across-memory-and-foundry-technologies</t>
        </is>
      </c>
      <c r="L6" s="60" t="inlineStr">
        <is>
          <t>bd739fbc33fb8bb2bb1f6e52</t>
        </is>
      </c>
      <c r="M6" s="75" t="inlineStr">
        <is>
          <t>2026-07-26T18:56:03+09:00</t>
        </is>
      </c>
      <c r="N6" s="60" t="inlineStr">
        <is>
          <t>New</t>
        </is>
      </c>
      <c r="O6" s="60" t="inlineStr"/>
    </row>
    <row r="7" ht="42" customHeight="1">
      <c r="A7" s="75" t="inlineStr">
        <is>
          <t>2026-07-26T20:13:43+09:00</t>
        </is>
      </c>
      <c r="B7" s="75" t="inlineStr">
        <is>
          <t>2026-07-25T02:32:54Z</t>
        </is>
      </c>
      <c r="C7" s="60" t="inlineStr">
        <is>
          <t>United States</t>
        </is>
      </c>
      <c r="D7" s="60" t="inlineStr">
        <is>
          <t>Hong Kong</t>
        </is>
      </c>
      <c r="E7" s="60" t="inlineStr">
        <is>
          <t>Innovation Policy</t>
        </is>
      </c>
      <c r="F7" s="76" t="n">
        <v>1</v>
      </c>
      <c r="G7" s="60" t="inlineStr">
        <is>
          <t>Major Media</t>
        </is>
      </c>
      <c r="H7" s="60" t="inlineStr">
        <is>
          <t>South China Morning Post Technology</t>
        </is>
      </c>
      <c r="I7" s="60" t="inlineStr">
        <is>
          <t>中国、Trip.comに765百万ドルの独占禁止罰金を科す</t>
        </is>
      </c>
      <c r="J7" s="60" t="inlineStr">
        <is>
          <t>中国の市場規制当局は、Trip.comに対して独占的行為により765百万ドルの罰金を科した。この措置は、中国の市場における競争環境を改善するための政策の一環と見られる。</t>
        </is>
      </c>
      <c r="K7" s="60" t="inlineStr">
        <is>
          <t>https://www.scmp.com/tech/policy/article/3361818/china-hits-tripcom-us765-million-antitrust-penalty-after-six-month-investigation?utm_source=rss_feed</t>
        </is>
      </c>
      <c r="L7" s="60" t="inlineStr">
        <is>
          <t>4f0f96e20a2da9824751e330</t>
        </is>
      </c>
      <c r="M7" s="75" t="inlineStr">
        <is>
          <t>2026-07-26T20:13:43+09:00</t>
        </is>
      </c>
      <c r="N7" s="60" t="inlineStr">
        <is>
          <t>New</t>
        </is>
      </c>
      <c r="O7" s="60" t="inlineStr"/>
    </row>
    <row r="8" ht="42" customHeight="1">
      <c r="A8" s="75" t="inlineStr">
        <is>
          <t>2026-07-26T18:56:03+09:00</t>
        </is>
      </c>
      <c r="B8" s="75" t="inlineStr">
        <is>
          <t>2026-07-24T16:46:59Z</t>
        </is>
      </c>
      <c r="C8" s="60" t="inlineStr">
        <is>
          <t>Asia</t>
        </is>
      </c>
      <c r="D8" s="60" t="inlineStr">
        <is>
          <t>United States</t>
        </is>
      </c>
      <c r="E8" s="60" t="inlineStr">
        <is>
          <t>Semiconductors &amp; Telecom</t>
        </is>
      </c>
      <c r="F8" s="76" t="n">
        <v>3</v>
      </c>
      <c r="G8" s="60" t="inlineStr">
        <is>
          <t>Official Company</t>
        </is>
      </c>
      <c r="H8" s="60" t="inlineStr">
        <is>
          <t>Intel Newsroom</t>
        </is>
      </c>
      <c r="I8" s="60" t="inlineStr">
        <is>
          <t>インテルとレンズテクノロジーがAI時代の先進半導体パッケージングを実現するために協力</t>
        </is>
      </c>
      <c r="J8" s="60" t="inlineStr">
        <is>
          <t>インテルとレンズテクノロジーが、ガラス基板を用いた先進的な半導体パッケージング技術の開発を加速するための戦略的協力を発表しました。</t>
        </is>
      </c>
      <c r="K8" s="60" t="inlineStr">
        <is>
          <t>https://newsroom.intel.com/new-technologies/intel-and-lens-technology-collaborate-to-enable-advanced-semiconductor-packaging-for-the-ai-era</t>
        </is>
      </c>
      <c r="L8" s="60" t="inlineStr">
        <is>
          <t>10eedf14d7d6b636e24e447d</t>
        </is>
      </c>
      <c r="M8" s="75" t="inlineStr">
        <is>
          <t>2026-07-26T18:56:03+09:00</t>
        </is>
      </c>
      <c r="N8" s="60" t="inlineStr">
        <is>
          <t>New</t>
        </is>
      </c>
      <c r="O8" s="60" t="inlineStr"/>
    </row>
    <row r="9" ht="42" customHeight="1">
      <c r="A9" s="75" t="inlineStr">
        <is>
          <t>2026-07-26T18:56:03+09:00</t>
        </is>
      </c>
      <c r="B9" s="75" t="inlineStr">
        <is>
          <t>2026-07-24T04:34:27Z</t>
        </is>
      </c>
      <c r="C9" s="60" t="inlineStr">
        <is>
          <t>Asia</t>
        </is>
      </c>
      <c r="D9" s="60" t="inlineStr">
        <is>
          <t>United States</t>
        </is>
      </c>
      <c r="E9" s="60" t="inlineStr">
        <is>
          <t>Artificial Intelligence | Semiconductors &amp; Telecom</t>
        </is>
      </c>
      <c r="F9" s="76" t="n">
        <v>0</v>
      </c>
      <c r="G9" s="60" t="inlineStr">
        <is>
          <t>Official Company</t>
        </is>
      </c>
      <c r="H9" s="60" t="inlineStr">
        <is>
          <t>NVIDIA Blog</t>
        </is>
      </c>
      <c r="I9" s="60" t="inlineStr">
        <is>
          <t>AIサミットで韓国がNVIDIAとパートナーと共にAIの未来を描く</t>
        </is>
      </c>
      <c r="J9" s="60" t="inlineStr">
        <is>
          <t>韓国の大統領とビジネスリーダーがNVIDIAと共にAIの進展を議論し、今後の政策を策定するための会議を開催した。</t>
        </is>
      </c>
      <c r="K9" s="60" t="inlineStr">
        <is>
          <t>https://blogs.nvidia.com/blog/ai-summit-korea-partners-and-nvidia/</t>
        </is>
      </c>
      <c r="L9" s="60" t="inlineStr">
        <is>
          <t>3124530844eb0ac80a5a17e4</t>
        </is>
      </c>
      <c r="M9" s="75" t="inlineStr">
        <is>
          <t>2026-07-26T18:56:03+09:00</t>
        </is>
      </c>
      <c r="N9" s="60" t="inlineStr">
        <is>
          <t>New</t>
        </is>
      </c>
      <c r="O9" s="60" t="inlineStr"/>
    </row>
    <row r="10" ht="42" customHeight="1">
      <c r="A10" s="75" t="inlineStr">
        <is>
          <t>2026-07-26T18:56:03+09:00</t>
        </is>
      </c>
      <c r="B10" s="75" t="inlineStr">
        <is>
          <t>2026-07-24T00:00:00Z</t>
        </is>
      </c>
      <c r="C10" s="60" t="inlineStr">
        <is>
          <t>Global</t>
        </is>
      </c>
      <c r="D10" s="60" t="inlineStr">
        <is>
          <t>Global</t>
        </is>
      </c>
      <c r="E10" s="60" t="inlineStr">
        <is>
          <t>Biotechnology</t>
        </is>
      </c>
      <c r="F10" s="76" t="n">
        <v>0</v>
      </c>
      <c r="G10" s="60" t="inlineStr">
        <is>
          <t>Scientific Publication</t>
        </is>
      </c>
      <c r="H10" s="60" t="inlineStr">
        <is>
          <t>Nature</t>
        </is>
      </c>
      <c r="I10" s="60" t="inlineStr">
        <is>
          <t>奇妙なCRISPR酵素が癌細胞をDNAを破壊して殺す</t>
        </is>
      </c>
      <c r="J10" s="60" t="inlineStr">
        <is>
          <t>新たなCRISPR酵素が癌細胞を標的にし、DNAを破壊することで効果を示す可能性があることが報告された。</t>
        </is>
      </c>
      <c r="K10" s="60" t="inlineStr">
        <is>
          <t>https://www.nature.com/articles/d41586-026-02268-z</t>
        </is>
      </c>
      <c r="L10" s="60" t="inlineStr">
        <is>
          <t>006500c385193d3a42b6ae61</t>
        </is>
      </c>
      <c r="M10" s="75" t="inlineStr">
        <is>
          <t>2026-07-26T18:56:03+09:00</t>
        </is>
      </c>
      <c r="N10" s="60" t="inlineStr">
        <is>
          <t>New</t>
        </is>
      </c>
      <c r="O10" s="60" t="inlineStr"/>
    </row>
    <row r="11" ht="42" customHeight="1">
      <c r="A11" s="75" t="inlineStr">
        <is>
          <t>2026-07-26T18:56:03+09:00</t>
        </is>
      </c>
      <c r="B11" s="75" t="inlineStr">
        <is>
          <t>2026-07-23T16:58:28Z</t>
        </is>
      </c>
      <c r="C11" s="60" t="inlineStr">
        <is>
          <t>Global</t>
        </is>
      </c>
      <c r="D11" s="60" t="inlineStr">
        <is>
          <t>United States</t>
        </is>
      </c>
      <c r="E11" s="60" t="inlineStr">
        <is>
          <t>Biotechnology</t>
        </is>
      </c>
      <c r="F11" s="76" t="n">
        <v>0</v>
      </c>
      <c r="G11" s="60" t="inlineStr">
        <is>
          <t>Major Media</t>
        </is>
      </c>
      <c r="H11" s="60" t="inlineStr">
        <is>
          <t>MIT Technology Review</t>
        </is>
      </c>
      <c r="I11" s="60" t="inlineStr">
        <is>
          <t>超冷却された腎臓が豚に移植される「画期的な成果」</t>
        </is>
      </c>
      <c r="J11" s="60" t="inlineStr">
        <is>
          <t>臓器提供において、時間が重要であることを示す研究が発表され、超冷却された腎臓が豚に移植されることに成功した。これは臓器の保存と移植における新たな可能性を示唆している。</t>
        </is>
      </c>
      <c r="K11" s="60" t="inlineStr">
        <is>
          <t>https://www.technologyreview.com/2026/07/23/1140765/supercooled-kidneys-have-been-transplanted-into-pigs-in-a-landmark-achievement/</t>
        </is>
      </c>
      <c r="L11" s="60" t="inlineStr">
        <is>
          <t>590a8cbd726d99d379ccecb1</t>
        </is>
      </c>
      <c r="M11" s="75" t="inlineStr">
        <is>
          <t>2026-07-26T18:56:03+09:00</t>
        </is>
      </c>
      <c r="N11" s="60" t="inlineStr">
        <is>
          <t>New</t>
        </is>
      </c>
      <c r="O11" s="60" t="inlineStr"/>
    </row>
    <row r="12" ht="42" customHeight="1">
      <c r="A12" s="75" t="inlineStr">
        <is>
          <t>2026-07-26T18:56:03+09:00</t>
        </is>
      </c>
      <c r="B12" s="75" t="inlineStr">
        <is>
          <t>2026-07-23T15:00:48Z</t>
        </is>
      </c>
      <c r="C12" s="60" t="inlineStr">
        <is>
          <t>Global</t>
        </is>
      </c>
      <c r="D12" s="60" t="inlineStr">
        <is>
          <t>United Kingdom</t>
        </is>
      </c>
      <c r="E12" s="60" t="inlineStr">
        <is>
          <t>Innovation Policy</t>
        </is>
      </c>
      <c r="F12" s="76" t="n">
        <v>1</v>
      </c>
      <c r="G12" s="60" t="inlineStr">
        <is>
          <t>Major Media</t>
        </is>
      </c>
      <c r="H12" s="60" t="inlineStr">
        <is>
          <t>The Guardian Technology</t>
        </is>
      </c>
      <c r="I12" s="60" t="inlineStr">
        <is>
          <t>現在の10年代が映画を革命化した理由</t>
        </is>
      </c>
      <c r="J12" s="60" t="inlineStr">
        <is>
          <t>映画産業の革新とその影響について考察されており、政策的な観点からの議論が含まれています。</t>
        </is>
      </c>
      <c r="K12" s="60" t="inlineStr">
        <is>
          <t>https://www.theguardian.com/film/2026/jul/23/how-2020s-decade-revolutionised-cinema</t>
        </is>
      </c>
      <c r="L12" s="60" t="inlineStr">
        <is>
          <t>f8939f05439f07fdefca04fc</t>
        </is>
      </c>
      <c r="M12" s="75" t="inlineStr">
        <is>
          <t>2026-07-26T18:56:03+09:00</t>
        </is>
      </c>
      <c r="N12" s="60" t="inlineStr">
        <is>
          <t>New</t>
        </is>
      </c>
      <c r="O12" s="60" t="inlineStr"/>
    </row>
    <row r="13" ht="42" customHeight="1">
      <c r="A13" s="75" t="inlineStr">
        <is>
          <t>2026-07-26T20:13:43+09:00</t>
        </is>
      </c>
      <c r="B13" s="75" t="inlineStr">
        <is>
          <t>2026-07-23T11:30:07Z</t>
        </is>
      </c>
      <c r="C13" s="60" t="inlineStr">
        <is>
          <t>United States</t>
        </is>
      </c>
      <c r="D13" s="60" t="inlineStr">
        <is>
          <t>Hong Kong</t>
        </is>
      </c>
      <c r="E13" s="60" t="inlineStr">
        <is>
          <t>Robotics | Innovation Policy</t>
        </is>
      </c>
      <c r="F13" s="76" t="n">
        <v>2</v>
      </c>
      <c r="G13" s="60" t="inlineStr">
        <is>
          <t>Major Media</t>
        </is>
      </c>
      <c r="H13" s="60" t="inlineStr">
        <is>
          <t>South China Morning Post Technology</t>
        </is>
      </c>
      <c r="I13" s="60" t="inlineStr">
        <is>
          <t>米国、中国製ヒューマノイドロボットの禁止を検討</t>
        </is>
      </c>
      <c r="J13" s="60" t="inlineStr">
        <is>
          <t>米国の議会は、中国製のヒューマノイドロボットの軍事利用を禁止する防衛法案を進めており、国家安全保障やデータプライバシーの懸念から外国の自律システムの使用を制限する内容が含まれている。</t>
        </is>
      </c>
      <c r="K13" s="60" t="inlineStr">
        <is>
          <t>https://www.scmp.com/tech/policy/article/3361622/us-eyes-ban-chinese-humanoid-robots-us-china-tech-rivalry-intensifies?utm_source=rss_feed</t>
        </is>
      </c>
      <c r="L13" s="60" t="inlineStr">
        <is>
          <t>17c856708cfe91897e9a7d7c</t>
        </is>
      </c>
      <c r="M13" s="75" t="inlineStr">
        <is>
          <t>2026-07-26T20:13:43+09:00</t>
        </is>
      </c>
      <c r="N13" s="60" t="inlineStr">
        <is>
          <t>New</t>
        </is>
      </c>
      <c r="O13" s="60" t="inlineStr"/>
    </row>
    <row r="14" ht="42" customHeight="1">
      <c r="A14" s="75" t="inlineStr">
        <is>
          <t>2026-07-26T20:13:43+09:00</t>
        </is>
      </c>
      <c r="B14" s="75" t="inlineStr">
        <is>
          <t>2026-07-23T10:00:17Z</t>
        </is>
      </c>
      <c r="C14" s="60" t="inlineStr">
        <is>
          <t>Asia</t>
        </is>
      </c>
      <c r="D14" s="60" t="inlineStr">
        <is>
          <t>Hong Kong</t>
        </is>
      </c>
      <c r="E14" s="60" t="inlineStr">
        <is>
          <t>Artificial Intelligence</t>
        </is>
      </c>
      <c r="F14" s="76" t="n">
        <v>0</v>
      </c>
      <c r="G14" s="60" t="inlineStr">
        <is>
          <t>Major Media</t>
        </is>
      </c>
      <c r="H14" s="60" t="inlineStr">
        <is>
          <t>South China Morning Post Technology</t>
        </is>
      </c>
      <c r="I14" s="60" t="inlineStr">
        <is>
          <t>中国のテクノロジー企業、国内競争を背景にAIブームをチャンスに変える</t>
        </is>
      </c>
      <c r="J14" s="60" t="inlineStr">
        <is>
          <t>中国のテクノロジー企業は、AIへの投資が急増する中、国内の激しい競争を背景に国際的な展開を加速させている。特にクラウドベースのソフトウェアや基盤モデルを通じて、物理的な供給チェーンだけでなく、テクノロジーの輸出も増加している。</t>
        </is>
      </c>
      <c r="K14" s="60" t="inlineStr">
        <is>
          <t>https://www.scmp.com/tech/tech-trends/article/3361596/chinas-tech-firms-turn-global-ai-boom-opportunity-amid-fierce-rivalry-home?utm_source=rss_feed</t>
        </is>
      </c>
      <c r="L14" s="60" t="inlineStr">
        <is>
          <t>2d5de96218ebc1a4b06e4e7c</t>
        </is>
      </c>
      <c r="M14" s="75" t="inlineStr">
        <is>
          <t>2026-07-26T20:13:43+09:00</t>
        </is>
      </c>
      <c r="N14" s="60" t="inlineStr">
        <is>
          <t>New</t>
        </is>
      </c>
      <c r="O14" s="60" t="inlineStr"/>
    </row>
    <row r="15" ht="42" customHeight="1">
      <c r="A15" s="75" t="inlineStr">
        <is>
          <t>2026-07-26T18:56:03+09:00</t>
        </is>
      </c>
      <c r="B15" s="75" t="inlineStr">
        <is>
          <t>2026-07-23T09:23:23Z</t>
        </is>
      </c>
      <c r="C15" s="60" t="inlineStr">
        <is>
          <t>EU &amp; Europe</t>
        </is>
      </c>
      <c r="D15" s="60" t="inlineStr">
        <is>
          <t>Belgium</t>
        </is>
      </c>
      <c r="E15" s="60" t="inlineStr">
        <is>
          <t>Innovation Policy</t>
        </is>
      </c>
      <c r="F15" s="76" t="n">
        <v>4</v>
      </c>
      <c r="G15" s="60" t="inlineStr">
        <is>
          <t>Policy Institute</t>
        </is>
      </c>
      <c r="H15" s="60" t="inlineStr">
        <is>
          <t>Bruegel</t>
        </is>
      </c>
      <c r="I15" s="60" t="inlineStr">
        <is>
          <t>EUの規制改善が競争力をもたらすか？</t>
        </is>
      </c>
      <c r="J15" s="60" t="inlineStr">
        <is>
          <t>EUの規制改善が競争力に与える影響についてのセッションが行われ、政策の重要性が議論されています。</t>
        </is>
      </c>
      <c r="K15" s="60" t="inlineStr">
        <is>
          <t>https://www.bruegel.org/node/12451</t>
        </is>
      </c>
      <c r="L15" s="60" t="inlineStr">
        <is>
          <t>90ef16bcfe1bd00925658dc5</t>
        </is>
      </c>
      <c r="M15" s="75" t="inlineStr">
        <is>
          <t>2026-07-26T18:56:03+09:00</t>
        </is>
      </c>
      <c r="N15" s="60" t="inlineStr">
        <is>
          <t>New</t>
        </is>
      </c>
      <c r="O15" s="60" t="inlineStr"/>
    </row>
    <row r="16" ht="42" customHeight="1">
      <c r="A16" s="75" t="inlineStr">
        <is>
          <t>2026-07-26T18:56:03+09:00</t>
        </is>
      </c>
      <c r="B16" s="75" t="inlineStr">
        <is>
          <t>2026-07-23T02:00:46Z</t>
        </is>
      </c>
      <c r="C16" s="60" t="inlineStr">
        <is>
          <t>Global</t>
        </is>
      </c>
      <c r="D16" s="60" t="inlineStr">
        <is>
          <t>United States</t>
        </is>
      </c>
      <c r="E16" s="60" t="inlineStr">
        <is>
          <t>Semiconductors &amp; Telecom</t>
        </is>
      </c>
      <c r="F16" s="76" t="n">
        <v>1</v>
      </c>
      <c r="G16" s="60" t="inlineStr">
        <is>
          <t>Official Company</t>
        </is>
      </c>
      <c r="H16" s="60" t="inlineStr">
        <is>
          <t>NVIDIA Blog</t>
        </is>
      </c>
      <c r="I16" s="60" t="inlineStr">
        <is>
          <t>NVIDIAのAIスパコンが海軍大学校で稼働開始</t>
        </is>
      </c>
      <c r="J16" s="60" t="inlineStr">
        <is>
          <t>NVIDIAの創業者が海軍大学校を訪れ、強力なAIプラットフォームを導入しました。これにより、学生や研究者が最新の技術を活用できる環境が整います。</t>
        </is>
      </c>
      <c r="K16" s="60" t="inlineStr">
        <is>
          <t>https://blogs.nvidia.com/blog/naval-postgraduate-school-dgx-ai-supercomputer/</t>
        </is>
      </c>
      <c r="L16" s="60" t="inlineStr">
        <is>
          <t>c174fc131c4d55cb839833e9</t>
        </is>
      </c>
      <c r="M16" s="75" t="inlineStr">
        <is>
          <t>2026-07-26T18:56:03+09:00</t>
        </is>
      </c>
      <c r="N16" s="60" t="inlineStr">
        <is>
          <t>New</t>
        </is>
      </c>
      <c r="O16" s="60" t="inlineStr"/>
    </row>
    <row r="17" ht="42" customHeight="1">
      <c r="A17" s="75" t="inlineStr">
        <is>
          <t>2026-07-26T19:05:06+09:00</t>
        </is>
      </c>
      <c r="B17" s="75" t="inlineStr">
        <is>
          <t>2026-07-23T00:00:00Z</t>
        </is>
      </c>
      <c r="C17" s="60" t="inlineStr">
        <is>
          <t>United States</t>
        </is>
      </c>
      <c r="D17" s="60" t="inlineStr">
        <is>
          <t>United States</t>
        </is>
      </c>
      <c r="E17" s="60" t="inlineStr">
        <is>
          <t>Innovation Policy</t>
        </is>
      </c>
      <c r="F17" s="76" t="n">
        <v>3</v>
      </c>
      <c r="G17" s="60" t="inlineStr">
        <is>
          <t>Policy Institute</t>
        </is>
      </c>
      <c r="H17" s="60" t="inlineStr">
        <is>
          <t>Brookings TechTank</t>
        </is>
      </c>
      <c r="I17" s="60" t="inlineStr">
        <is>
          <t>技術企業が雇用問題とスキル開発にどのように対処すべきか</t>
        </is>
      </c>
      <c r="J17" s="60" t="inlineStr">
        <is>
          <t>技術企業が直面する雇用問題とスキル開発に関する提言が行われ、政策的な視点からのアプローチが求められています。</t>
        </is>
      </c>
      <c r="K17" s="60" t="inlineStr">
        <is>
          <t>https://www.brookings.edu/articles/how-tech-firms-should-address-job-concerns-and-skill-development/</t>
        </is>
      </c>
      <c r="L17" s="60" t="inlineStr">
        <is>
          <t>0d48c18a0657c35e8abe7133</t>
        </is>
      </c>
      <c r="M17" s="75" t="inlineStr">
        <is>
          <t>2026-07-26T19:05:06+09:00</t>
        </is>
      </c>
      <c r="N17" s="60" t="inlineStr">
        <is>
          <t>New</t>
        </is>
      </c>
      <c r="O17" s="60" t="inlineStr"/>
    </row>
    <row r="18" ht="42" customHeight="1">
      <c r="A18" s="75" t="inlineStr">
        <is>
          <t>2026-07-26T18:56:03+09:00</t>
        </is>
      </c>
      <c r="B18" s="75" t="inlineStr">
        <is>
          <t>2026-07-23T00:00:00Z</t>
        </is>
      </c>
      <c r="C18" s="60" t="inlineStr">
        <is>
          <t>Global</t>
        </is>
      </c>
      <c r="D18" s="60" t="inlineStr">
        <is>
          <t>United States</t>
        </is>
      </c>
      <c r="E18" s="60" t="inlineStr">
        <is>
          <t>Artificial Intelligence | Healthcare</t>
        </is>
      </c>
      <c r="F18" s="76" t="n">
        <v>1</v>
      </c>
      <c r="G18" s="60" t="inlineStr">
        <is>
          <t>Official Company</t>
        </is>
      </c>
      <c r="H18" s="60" t="inlineStr">
        <is>
          <t>OpenAI News</t>
        </is>
      </c>
      <c r="I18" s="60" t="inlineStr">
        <is>
          <t>ChatGPTにおける健康機能の導入</t>
        </is>
      </c>
      <c r="J18" s="60" t="inlineStr">
        <is>
          <t>ChatGPTが米国のユーザー向けに医療記録とApple Healthを安全に接続し、個別化された健康情報を提供する新機能を発表しました。</t>
        </is>
      </c>
      <c r="K18" s="60" t="inlineStr">
        <is>
          <t>https://openai.com/index/health-in-chatgpt</t>
        </is>
      </c>
      <c r="L18" s="60" t="inlineStr">
        <is>
          <t>bf70d809f9542eeef4af8727</t>
        </is>
      </c>
      <c r="M18" s="75" t="inlineStr">
        <is>
          <t>2026-07-26T18:56:03+09:00</t>
        </is>
      </c>
      <c r="N18" s="60" t="inlineStr">
        <is>
          <t>New</t>
        </is>
      </c>
      <c r="O18" s="60" t="inlineStr"/>
    </row>
    <row r="19" ht="42" customHeight="1">
      <c r="A19" s="75" t="inlineStr">
        <is>
          <t>2026-07-26T18:56:03+09:00</t>
        </is>
      </c>
      <c r="B19" s="75" t="inlineStr">
        <is>
          <t>2026-07-22T14:21:46Z</t>
        </is>
      </c>
      <c r="C19" s="60" t="inlineStr">
        <is>
          <t>EU &amp; Europe</t>
        </is>
      </c>
      <c r="D19" s="60" t="inlineStr">
        <is>
          <t>United Kingdom</t>
        </is>
      </c>
      <c r="E19" s="60" t="inlineStr">
        <is>
          <t>Innovation Policy</t>
        </is>
      </c>
      <c r="F19" s="76" t="n">
        <v>3</v>
      </c>
      <c r="G19" s="60" t="inlineStr">
        <is>
          <t>Government</t>
        </is>
      </c>
      <c r="H19" s="60" t="inlineStr">
        <is>
          <t>UK DSIT</t>
        </is>
      </c>
      <c r="I19" s="60" t="inlineStr">
        <is>
          <t>研究における女性のための憲章に関するガイダンス</t>
        </is>
      </c>
      <c r="J19" s="60" t="inlineStr">
        <is>
          <t>英国の研究システムにおける女性の成果を改善するための自主的な取り組みが提案され、研究資金提供者や研究機関に対する具体的な行動が示されています。</t>
        </is>
      </c>
      <c r="K19" s="60" t="inlineStr">
        <is>
          <t>https://www.gov.uk/government/publications/women-in-research-charter</t>
        </is>
      </c>
      <c r="L19" s="60" t="inlineStr">
        <is>
          <t>1e9fd9033d38bacea37c0f42</t>
        </is>
      </c>
      <c r="M19" s="75" t="inlineStr">
        <is>
          <t>2026-07-26T18:56:03+09:00</t>
        </is>
      </c>
      <c r="N19" s="60" t="inlineStr">
        <is>
          <t>New</t>
        </is>
      </c>
      <c r="O19" s="60" t="inlineStr"/>
    </row>
    <row r="20" ht="42" customHeight="1">
      <c r="A20" s="75" t="inlineStr">
        <is>
          <t>2026-07-26T19:05:06+09:00</t>
        </is>
      </c>
      <c r="B20" s="75" t="inlineStr">
        <is>
          <t>2026-07-22T14:12:14Z</t>
        </is>
      </c>
      <c r="C20" s="60" t="inlineStr">
        <is>
          <t>United States</t>
        </is>
      </c>
      <c r="D20" s="60" t="inlineStr">
        <is>
          <t>United States</t>
        </is>
      </c>
      <c r="E20" s="60" t="inlineStr">
        <is>
          <t>Innovation Policy</t>
        </is>
      </c>
      <c r="F20" s="76" t="n">
        <v>3</v>
      </c>
      <c r="G20" s="60" t="inlineStr">
        <is>
          <t>Government</t>
        </is>
      </c>
      <c r="H20" s="60" t="inlineStr">
        <is>
          <t>DOE Office of Science News</t>
        </is>
      </c>
      <c r="I20" s="60" t="inlineStr">
        <is>
          <t>エネルギー長官クリス・ライトがAI駆動の科学的発見を加速するための最初のジェネシスミッションプロジェクトを発表</t>
        </is>
      </c>
      <c r="J20" s="60" t="inlineStr">
        <is>
          <t>エネルギー省は、全米から選ばれた約300のプロジェクトを発表し、エネルギー、発見科学、国家安全保障におけるブレークスルーを加速することを目指しています。</t>
        </is>
      </c>
      <c r="K20" s="60" t="inlineStr">
        <is>
          <t>https://www.energy.gov/articles/secretary-energy-chris-wright-announces-first-genesis-mission-projects-selected-accelerate</t>
        </is>
      </c>
      <c r="L20" s="60" t="inlineStr">
        <is>
          <t>23fa1d6907c14d73ce3a41cd</t>
        </is>
      </c>
      <c r="M20" s="75" t="inlineStr">
        <is>
          <t>2026-07-26T19:05:06+09:00</t>
        </is>
      </c>
      <c r="N20" s="60" t="inlineStr">
        <is>
          <t>New</t>
        </is>
      </c>
      <c r="O20" s="60" t="inlineStr"/>
    </row>
    <row r="21" ht="42" customHeight="1">
      <c r="A21" s="75" t="inlineStr">
        <is>
          <t>2026-07-26T18:56:03+09:00</t>
        </is>
      </c>
      <c r="B21" s="75" t="inlineStr">
        <is>
          <t>2026-07-22T14:12:00Z</t>
        </is>
      </c>
      <c r="C21" s="60" t="inlineStr">
        <is>
          <t>United States</t>
        </is>
      </c>
      <c r="D21" s="60" t="inlineStr">
        <is>
          <t>United States</t>
        </is>
      </c>
      <c r="E21" s="60" t="inlineStr">
        <is>
          <t>Innovation Policy | Artificial Intelligence</t>
        </is>
      </c>
      <c r="F21" s="76" t="n">
        <v>3</v>
      </c>
      <c r="G21" s="60" t="inlineStr">
        <is>
          <t>Policy Institute</t>
        </is>
      </c>
      <c r="H21" s="60" t="inlineStr">
        <is>
          <t>CSET</t>
        </is>
      </c>
      <c r="I21" s="60" t="inlineStr">
        <is>
          <t>人工知能と核戦争に関するグローバルノーベル賞受賞者会議での発言</t>
        </is>
      </c>
      <c r="J21" s="60" t="inlineStr">
        <is>
          <t>CSETのシニアフェローがAIと核戦争に関する会議での経験を共有。</t>
        </is>
      </c>
      <c r="K21" s="60" t="inlineStr">
        <is>
          <t>https://cset.georgetown.edu/article/remarks-at-the-global-nobel-laureates-assembly-on-artificial-intelligence-and-nuclear-war/</t>
        </is>
      </c>
      <c r="L21" s="60" t="inlineStr">
        <is>
          <t>863086979e9f7f63c082cb57</t>
        </is>
      </c>
      <c r="M21" s="75" t="inlineStr">
        <is>
          <t>2026-07-26T18:56:03+09:00</t>
        </is>
      </c>
      <c r="N21" s="60" t="inlineStr">
        <is>
          <t>New</t>
        </is>
      </c>
      <c r="O21" s="60" t="inlineStr"/>
    </row>
    <row r="22" ht="42" customHeight="1">
      <c r="A22" s="75" t="inlineStr">
        <is>
          <t>2026-07-26T18:56:03+09:00</t>
        </is>
      </c>
      <c r="B22" s="75" t="inlineStr">
        <is>
          <t>2026-07-22T13:58:00Z</t>
        </is>
      </c>
      <c r="C22" s="60" t="inlineStr">
        <is>
          <t>EU &amp; Europe</t>
        </is>
      </c>
      <c r="D22" s="60" t="inlineStr">
        <is>
          <t>United Kingdom</t>
        </is>
      </c>
      <c r="E22" s="60" t="inlineStr">
        <is>
          <t>Innovation Policy</t>
        </is>
      </c>
      <c r="F22" s="76" t="n">
        <v>3</v>
      </c>
      <c r="G22" s="60" t="inlineStr">
        <is>
          <t>Government</t>
        </is>
      </c>
      <c r="H22" s="60" t="inlineStr">
        <is>
          <t>UK DSIT</t>
        </is>
      </c>
      <c r="I22" s="60" t="inlineStr">
        <is>
          <t>ガイダンス：Consultの利用登録</t>
        </is>
      </c>
      <c r="J22" s="60" t="inlineStr">
        <is>
          <t>政府チームが公共の意見を分析するためのAIツールConsultの利用登録を呼びかけ。</t>
        </is>
      </c>
      <c r="K22" s="60" t="inlineStr">
        <is>
          <t>https://www.gov.uk/government/publications/consult-register-your-interest</t>
        </is>
      </c>
      <c r="L22" s="60" t="inlineStr">
        <is>
          <t>a651f42eb5805e39f03fbebe</t>
        </is>
      </c>
      <c r="M22" s="75" t="inlineStr">
        <is>
          <t>2026-07-26T18:56:03+09:00</t>
        </is>
      </c>
      <c r="N22" s="60" t="inlineStr">
        <is>
          <t>New</t>
        </is>
      </c>
      <c r="O22" s="60" t="inlineStr"/>
    </row>
    <row r="23" ht="42" customHeight="1">
      <c r="A23" s="75" t="inlineStr">
        <is>
          <t>2026-07-26T19:05:06+09:00</t>
        </is>
      </c>
      <c r="B23" s="75" t="inlineStr">
        <is>
          <t>2026-07-22T13:53:19Z</t>
        </is>
      </c>
      <c r="C23" s="60" t="inlineStr">
        <is>
          <t>United States</t>
        </is>
      </c>
      <c r="D23" s="60" t="inlineStr">
        <is>
          <t>United States</t>
        </is>
      </c>
      <c r="E23" s="60" t="inlineStr">
        <is>
          <t>Innovation Policy | Artificial Intelligence</t>
        </is>
      </c>
      <c r="F23" s="76" t="n">
        <v>5</v>
      </c>
      <c r="G23" s="60" t="inlineStr">
        <is>
          <t>Government</t>
        </is>
      </c>
      <c r="H23" s="60" t="inlineStr">
        <is>
          <t>National Science Foundation News</t>
        </is>
      </c>
      <c r="I23" s="60" t="inlineStr">
        <is>
          <t>NSF長官代理によるAI優先事項の推進に関する声明</t>
        </is>
      </c>
      <c r="J23" s="60" t="inlineStr">
        <is>
          <t>米国国立科学財団がホワイトハウスと連携し、AIに関する優先事項を推進することを発表。</t>
        </is>
      </c>
      <c r="K23" s="60" t="inlineStr">
        <is>
          <t>https://www.nsf.gov/news/statement-nsf-chief-staff-brian-stone-performing-duties-nsf-1</t>
        </is>
      </c>
      <c r="L23" s="60" t="inlineStr">
        <is>
          <t>123e2207578ca69c8f9c00a2</t>
        </is>
      </c>
      <c r="M23" s="75" t="inlineStr">
        <is>
          <t>2026-07-26T19:05:06+09:00</t>
        </is>
      </c>
      <c r="N23" s="60" t="inlineStr">
        <is>
          <t>New</t>
        </is>
      </c>
      <c r="O23" s="60" t="inlineStr"/>
    </row>
    <row r="24" ht="42" customHeight="1">
      <c r="A24" s="75" t="inlineStr">
        <is>
          <t>2026-07-26T19:05:06+09:00</t>
        </is>
      </c>
      <c r="B24" s="75" t="inlineStr">
        <is>
          <t>2026-07-22T13:53:12Z</t>
        </is>
      </c>
      <c r="C24" s="60" t="inlineStr">
        <is>
          <t>United States</t>
        </is>
      </c>
      <c r="D24" s="60" t="inlineStr">
        <is>
          <t>United States</t>
        </is>
      </c>
      <c r="E24" s="60" t="inlineStr">
        <is>
          <t>Innovation Policy | Artificial Intelligence</t>
        </is>
      </c>
      <c r="F24" s="76" t="n">
        <v>4</v>
      </c>
      <c r="G24" s="60" t="inlineStr">
        <is>
          <t>Government</t>
        </is>
      </c>
      <c r="H24" s="60" t="inlineStr">
        <is>
          <t>National Science Foundation News</t>
        </is>
      </c>
      <c r="I24" s="60" t="inlineStr">
        <is>
          <t>新しいNSFイニシアチブがAIによる科学的発見のためのデータセットの価値を解放</t>
        </is>
      </c>
      <c r="J24" s="60" t="inlineStr">
        <is>
          <t>米国国立科学財団がAIを活用した科学的発見を促進するための新しいプログラムを発表。</t>
        </is>
      </c>
      <c r="K24" s="60" t="inlineStr">
        <is>
          <t>https://www.nsf.gov/news/new-nsf-initiative-aims-unlock-dataset-value-ai-enabled</t>
        </is>
      </c>
      <c r="L24" s="60" t="inlineStr">
        <is>
          <t>dcd819527d9b80141b26bcb8</t>
        </is>
      </c>
      <c r="M24" s="75" t="inlineStr">
        <is>
          <t>2026-07-26T19:05:06+09:00</t>
        </is>
      </c>
      <c r="N24" s="60" t="inlineStr">
        <is>
          <t>New</t>
        </is>
      </c>
      <c r="O24" s="60" t="inlineStr"/>
    </row>
    <row r="25" ht="42" customHeight="1">
      <c r="A25" s="75" t="inlineStr">
        <is>
          <t>2026-07-26T19:05:06+09:00</t>
        </is>
      </c>
      <c r="B25" s="75" t="inlineStr">
        <is>
          <t>2026-07-22T13:53:06Z</t>
        </is>
      </c>
      <c r="C25" s="60" t="inlineStr">
        <is>
          <t>United States</t>
        </is>
      </c>
      <c r="D25" s="60" t="inlineStr">
        <is>
          <t>United States</t>
        </is>
      </c>
      <c r="E25" s="60" t="inlineStr">
        <is>
          <t>Innovation Policy</t>
        </is>
      </c>
      <c r="F25" s="76" t="n">
        <v>3</v>
      </c>
      <c r="G25" s="60" t="inlineStr">
        <is>
          <t>Government</t>
        </is>
      </c>
      <c r="H25" s="60" t="inlineStr">
        <is>
          <t>National Science Foundation News</t>
        </is>
      </c>
      <c r="I25" s="60" t="inlineStr">
        <is>
          <t>NSFがAI駆動の科学を進めるために8300万ドルの投資を発表</t>
        </is>
      </c>
      <c r="J25" s="60" t="inlineStr">
        <is>
          <t>米国国立科学財団が8300万ドルの助成金を発表し、研究者がデータインフラを利用できるようにする。</t>
        </is>
      </c>
      <c r="K25" s="60" t="inlineStr">
        <is>
          <t>https://www.nsf.gov/news/nsf-announces-83m-investment-integrated-data-systems</t>
        </is>
      </c>
      <c r="L25" s="60" t="inlineStr">
        <is>
          <t>018d40b7e6eb7aa4b8cfb5fa</t>
        </is>
      </c>
      <c r="M25" s="75" t="inlineStr">
        <is>
          <t>2026-07-26T19:05:06+09:00</t>
        </is>
      </c>
      <c r="N25" s="60" t="inlineStr">
        <is>
          <t>New</t>
        </is>
      </c>
      <c r="O25" s="60" t="inlineStr"/>
    </row>
    <row r="26" ht="42" customHeight="1">
      <c r="A26" s="75" t="inlineStr">
        <is>
          <t>2026-07-26T18:56:03+09:00</t>
        </is>
      </c>
      <c r="B26" s="75" t="inlineStr">
        <is>
          <t>2026-07-22T13:00:00Z</t>
        </is>
      </c>
      <c r="C26" s="60" t="inlineStr">
        <is>
          <t>Global</t>
        </is>
      </c>
      <c r="D26" s="60" t="inlineStr">
        <is>
          <t>United States</t>
        </is>
      </c>
      <c r="E26" s="60" t="inlineStr">
        <is>
          <t>Artificial Intelligence</t>
        </is>
      </c>
      <c r="F26" s="76" t="n">
        <v>1</v>
      </c>
      <c r="G26" s="60" t="inlineStr">
        <is>
          <t>Official Company</t>
        </is>
      </c>
      <c r="H26" s="60" t="inlineStr">
        <is>
          <t>OpenAI News</t>
        </is>
      </c>
      <c r="I26" s="60" t="inlineStr">
        <is>
          <t>エフィンガム郡コミュニティとのAIインフラ構築</t>
        </is>
      </c>
      <c r="J26" s="60" t="inlineStr">
        <is>
          <t>OpenAIがエフィンガム郡でプロジェクトを発表し、責任あるエネルギー、地域投資、雇用、Codexへのアクセスを約束。</t>
        </is>
      </c>
      <c r="K26" s="60" t="inlineStr">
        <is>
          <t>https://openai.com/index/building-ai-infrastructure-with-the-effingham-county-community</t>
        </is>
      </c>
      <c r="L26" s="60" t="inlineStr">
        <is>
          <t>082c4173c70b04519142ea2a</t>
        </is>
      </c>
      <c r="M26" s="75" t="inlineStr">
        <is>
          <t>2026-07-26T18:56:03+09:00</t>
        </is>
      </c>
      <c r="N26" s="60" t="inlineStr">
        <is>
          <t>New</t>
        </is>
      </c>
      <c r="O26" s="60" t="inlineStr"/>
    </row>
    <row r="27" ht="42" customHeight="1">
      <c r="A27" s="75" t="inlineStr">
        <is>
          <t>2026-07-26T18:56:03+09:00</t>
        </is>
      </c>
      <c r="B27" s="75" t="inlineStr">
        <is>
          <t>2026-07-22T13:00:00Z</t>
        </is>
      </c>
      <c r="C27" s="60" t="inlineStr">
        <is>
          <t>Global</t>
        </is>
      </c>
      <c r="D27" s="60" t="inlineStr">
        <is>
          <t>United States</t>
        </is>
      </c>
      <c r="E27" s="60" t="inlineStr">
        <is>
          <t>Artificial Intelligence</t>
        </is>
      </c>
      <c r="F27" s="76" t="n">
        <v>1</v>
      </c>
      <c r="G27" s="60" t="inlineStr">
        <is>
          <t>Official Company</t>
        </is>
      </c>
      <c r="H27" s="60" t="inlineStr">
        <is>
          <t>OpenAI News</t>
        </is>
      </c>
      <c r="I27" s="60" t="inlineStr">
        <is>
          <t>ニュース組織がAIを活用して重要な使命を推進</t>
        </is>
      </c>
      <c r="J27" s="60" t="inlineStr">
        <is>
          <t>ニュース組織がAIを利用して報道を強化し、オーディエンスを拡大し、ビジネス運営を改善している。</t>
        </is>
      </c>
      <c r="K27" s="60" t="inlineStr">
        <is>
          <t>https://openai.com/index/how-news-organizations-are-using-ai</t>
        </is>
      </c>
      <c r="L27" s="60" t="inlineStr">
        <is>
          <t>932591afba7f1cf55372f3f4</t>
        </is>
      </c>
      <c r="M27" s="75" t="inlineStr">
        <is>
          <t>2026-07-26T18:56:03+09:00</t>
        </is>
      </c>
      <c r="N27" s="60" t="inlineStr">
        <is>
          <t>New</t>
        </is>
      </c>
      <c r="O27" s="60" t="inlineStr"/>
    </row>
    <row r="28" ht="42" customHeight="1">
      <c r="A28" s="75" t="inlineStr">
        <is>
          <t>2026-07-26T18:56:03+09:00</t>
        </is>
      </c>
      <c r="B28" s="75" t="inlineStr">
        <is>
          <t>2026-07-22T12:00:00Z</t>
        </is>
      </c>
      <c r="C28" s="60" t="inlineStr">
        <is>
          <t>United States</t>
        </is>
      </c>
      <c r="D28" s="60" t="inlineStr">
        <is>
          <t>United States</t>
        </is>
      </c>
      <c r="E28" s="60" t="inlineStr">
        <is>
          <t>Innovation Policy</t>
        </is>
      </c>
      <c r="F28" s="76" t="n">
        <v>5</v>
      </c>
      <c r="G28" s="60" t="inlineStr">
        <is>
          <t>Government</t>
        </is>
      </c>
      <c r="H28" s="60" t="inlineStr">
        <is>
          <t>NIST News</t>
        </is>
      </c>
      <c r="I28" s="60" t="inlineStr">
        <is>
          <t>NIST、米国の中小製造業者を支援するための資金提供機会を発表</t>
        </is>
      </c>
      <c r="J28" s="60" t="inlineStr">
        <is>
          <t>NIST MEPは、米国の中小製造業者を支援するための資金提供機会についての情報ウェビナーを開催します。</t>
        </is>
      </c>
      <c r="K28" s="60" t="inlineStr">
        <is>
          <t>https://www.nist.gov/news-events/news/2026/07/nist-announces-funding-opportunity-14-mep-centers-advance-small-and-medium</t>
        </is>
      </c>
      <c r="L28" s="60" t="inlineStr">
        <is>
          <t>5aa9c93bc7040291c9f08bfa</t>
        </is>
      </c>
      <c r="M28" s="75" t="inlineStr">
        <is>
          <t>2026-07-26T18:56:03+09:00</t>
        </is>
      </c>
      <c r="N28" s="60" t="inlineStr">
        <is>
          <t>New</t>
        </is>
      </c>
      <c r="O28" s="60" t="inlineStr"/>
    </row>
    <row r="29" ht="42" customHeight="1">
      <c r="A29" s="75" t="inlineStr">
        <is>
          <t>2026-07-26T18:56:03+09:00</t>
        </is>
      </c>
      <c r="B29" s="75" t="inlineStr">
        <is>
          <t>2026-07-22T12:00:00Z</t>
        </is>
      </c>
      <c r="C29" s="60" t="inlineStr">
        <is>
          <t>United States</t>
        </is>
      </c>
      <c r="D29" s="60" t="inlineStr">
        <is>
          <t>United States</t>
        </is>
      </c>
      <c r="E29" s="60" t="inlineStr">
        <is>
          <t>Artificial Intelligence</t>
        </is>
      </c>
      <c r="F29" s="76" t="n">
        <v>2</v>
      </c>
      <c r="G29" s="60" t="inlineStr">
        <is>
          <t>Official Company</t>
        </is>
      </c>
      <c r="H29" s="60" t="inlineStr">
        <is>
          <t>OpenAI News</t>
        </is>
      </c>
      <c r="I29" s="60" t="inlineStr">
        <is>
          <t>国家科学の次の時代を進める</t>
        </is>
      </c>
      <c r="J29" s="60" t="inlineStr">
        <is>
          <t>OpenAIは、米国エネルギー省や国立研究所と協力し、フロンティアAIを活用して発見を加速することにコミットしています。</t>
        </is>
      </c>
      <c r="K29" s="60" t="inlineStr">
        <is>
          <t>https://openai.com/index/advancing-the-next-era-of-national-science</t>
        </is>
      </c>
      <c r="L29" s="60" t="inlineStr">
        <is>
          <t>577ddf6b90e6d70b43383fc6</t>
        </is>
      </c>
      <c r="M29" s="75" t="inlineStr">
        <is>
          <t>2026-07-26T18:56:03+09:00</t>
        </is>
      </c>
      <c r="N29" s="60" t="inlineStr">
        <is>
          <t>New</t>
        </is>
      </c>
      <c r="O29" s="60" t="inlineStr"/>
    </row>
    <row r="30" ht="42" customHeight="1">
      <c r="A30" s="75" t="inlineStr">
        <is>
          <t>2026-07-26T18:56:03+09:00</t>
        </is>
      </c>
      <c r="B30" s="75" t="inlineStr">
        <is>
          <t>2026-07-22T05:30:00Z</t>
        </is>
      </c>
      <c r="C30" s="60" t="inlineStr">
        <is>
          <t>Global</t>
        </is>
      </c>
      <c r="D30" s="60" t="inlineStr">
        <is>
          <t>United States</t>
        </is>
      </c>
      <c r="E30" s="60" t="inlineStr">
        <is>
          <t>Artificial Intelligence</t>
        </is>
      </c>
      <c r="F30" s="76" t="n">
        <v>1</v>
      </c>
      <c r="G30" s="60" t="inlineStr">
        <is>
          <t>Official Company</t>
        </is>
      </c>
      <c r="H30" s="60" t="inlineStr">
        <is>
          <t>OpenAI News</t>
        </is>
      </c>
      <c r="I30" s="60" t="inlineStr">
        <is>
          <t>OpenAI Presenceの紹介</t>
        </is>
      </c>
      <c r="J30" s="60" t="inlineStr">
        <is>
          <t>OpenAI Presenceは、組織が信頼できる音声およびチャットエージェントを展開するための企業向けAIエージェントプラットフォームです。</t>
        </is>
      </c>
      <c r="K30" s="60" t="inlineStr">
        <is>
          <t>https://openai.com/index/introducing-openai-presence</t>
        </is>
      </c>
      <c r="L30" s="60" t="inlineStr">
        <is>
          <t>839f7a51d7b587ae6fb6fad7</t>
        </is>
      </c>
      <c r="M30" s="75" t="inlineStr">
        <is>
          <t>2026-07-26T18:56:03+09:00</t>
        </is>
      </c>
      <c r="N30" s="60" t="inlineStr">
        <is>
          <t>New</t>
        </is>
      </c>
      <c r="O30" s="60" t="inlineStr"/>
    </row>
    <row r="31" ht="42" customHeight="1">
      <c r="A31" s="75" t="inlineStr">
        <is>
          <t>2026-07-26T18:56:03+09:00</t>
        </is>
      </c>
      <c r="B31" s="75" t="inlineStr">
        <is>
          <t>2026-07-22T00:00:00Z</t>
        </is>
      </c>
      <c r="C31" s="60" t="inlineStr">
        <is>
          <t>Global</t>
        </is>
      </c>
      <c r="D31" s="60" t="inlineStr">
        <is>
          <t>United States</t>
        </is>
      </c>
      <c r="E31" s="60" t="inlineStr">
        <is>
          <t>Artificial Intelligence</t>
        </is>
      </c>
      <c r="F31" s="76" t="n">
        <v>1</v>
      </c>
      <c r="G31" s="60" t="inlineStr">
        <is>
          <t>Official Company</t>
        </is>
      </c>
      <c r="H31" s="60" t="inlineStr">
        <is>
          <t>OpenAI News</t>
        </is>
      </c>
      <c r="I31" s="60" t="inlineStr">
        <is>
          <t>NTTデータグループ、Codexでインシデント分析を30分に短縮</t>
        </is>
      </c>
      <c r="J31" s="60" t="inlineStr">
        <is>
          <t>NTTデータグループは、ChatGPT EnterpriseとCodexを活用し、9,000人の従業員が業務を自動化し、インシデント分析を30分に短縮することに成功しました。</t>
        </is>
      </c>
      <c r="K31" s="60" t="inlineStr">
        <is>
          <t>https://openai.com/index/ntt-data</t>
        </is>
      </c>
      <c r="L31" s="60" t="inlineStr">
        <is>
          <t>389ebd02d2834f48054db326</t>
        </is>
      </c>
      <c r="M31" s="75" t="inlineStr">
        <is>
          <t>2026-07-26T18:56:03+09:00</t>
        </is>
      </c>
      <c r="N31" s="60" t="inlineStr">
        <is>
          <t>New</t>
        </is>
      </c>
      <c r="O31" s="60" t="inlineStr"/>
    </row>
    <row r="32" ht="42" customHeight="1">
      <c r="A32" s="75" t="inlineStr">
        <is>
          <t>2026-07-26T18:56:03+09:00</t>
        </is>
      </c>
      <c r="B32" s="75" t="inlineStr">
        <is>
          <t>2026-07-22T00:00:00Z</t>
        </is>
      </c>
      <c r="C32" s="60" t="inlineStr">
        <is>
          <t>Global</t>
        </is>
      </c>
      <c r="D32" s="60" t="inlineStr">
        <is>
          <t>Global</t>
        </is>
      </c>
      <c r="E32" s="60" t="inlineStr">
        <is>
          <t>Biotechnology</t>
        </is>
      </c>
      <c r="F32" s="76" t="n">
        <v>1</v>
      </c>
      <c r="G32" s="60" t="inlineStr">
        <is>
          <t>Scientific Publication</t>
        </is>
      </c>
      <c r="H32" s="60" t="inlineStr">
        <is>
          <t>Nature</t>
        </is>
      </c>
      <c r="I32" s="60" t="inlineStr">
        <is>
          <t>サブニュクレアゲノム区画化が二価クロマチン活性を制御</t>
        </is>
      </c>
      <c r="J32" s="60" t="inlineStr">
        <is>
          <t>遺伝子の空間的な位置を理解することは、そのエピゲノム調節を理解するために必要です。</t>
        </is>
      </c>
      <c r="K32" s="60" t="inlineStr">
        <is>
          <t>https://www.nature.com/articles/s41586-026-10832-w</t>
        </is>
      </c>
      <c r="L32" s="60" t="inlineStr">
        <is>
          <t>f9bccca3cabb5ce19441f09d</t>
        </is>
      </c>
      <c r="M32" s="75" t="inlineStr">
        <is>
          <t>2026-07-26T18:56:03+09:00</t>
        </is>
      </c>
      <c r="N32" s="60" t="inlineStr">
        <is>
          <t>New</t>
        </is>
      </c>
      <c r="O32" s="60" t="inlineStr"/>
    </row>
    <row r="33" ht="42" customHeight="1">
      <c r="A33" s="75" t="inlineStr">
        <is>
          <t>2026-07-26T18:56:03+09:00</t>
        </is>
      </c>
      <c r="B33" s="75" t="inlineStr">
        <is>
          <t>2026-07-21T22:35:45Z</t>
        </is>
      </c>
      <c r="C33" s="60" t="inlineStr">
        <is>
          <t>Global</t>
        </is>
      </c>
      <c r="D33" s="60" t="inlineStr">
        <is>
          <t>United States</t>
        </is>
      </c>
      <c r="E33" s="60" t="inlineStr">
        <is>
          <t>Artificial Intelligence | Semiconductors &amp; Telecom</t>
        </is>
      </c>
      <c r="F33" s="76" t="n">
        <v>0</v>
      </c>
      <c r="G33" s="60" t="inlineStr">
        <is>
          <t>Official Company</t>
        </is>
      </c>
      <c r="H33" s="60" t="inlineStr">
        <is>
          <t>NVIDIA Blog</t>
        </is>
      </c>
      <c r="I33" s="60" t="inlineStr">
        <is>
          <t>フォートワースにおけるウィストロンの先進製造工場開設</t>
        </is>
      </c>
      <c r="J33" s="60" t="inlineStr">
        <is>
          <t>ウィストロンがテキサス州フォートワースにAIシステム用の先進製造工場を開設しました。この工場では、世界のAIシステムの中心となるスーパーチップが生産されます。</t>
        </is>
      </c>
      <c r="K33" s="60" t="inlineStr">
        <is>
          <t>https://blogs.nvidia.com/blog/wistron-manufacturing-texas/</t>
        </is>
      </c>
      <c r="L33" s="60" t="inlineStr">
        <is>
          <t>21f1e1f3e19b1a5bf0af3cb7</t>
        </is>
      </c>
      <c r="M33" s="75" t="inlineStr">
        <is>
          <t>2026-07-26T18:56:03+09:00</t>
        </is>
      </c>
      <c r="N33" s="60" t="inlineStr">
        <is>
          <t>New</t>
        </is>
      </c>
      <c r="O33" s="60" t="inlineStr"/>
    </row>
    <row r="34" ht="42" customHeight="1">
      <c r="A34" s="75" t="inlineStr">
        <is>
          <t>2026-07-26T18:56:03+09:00</t>
        </is>
      </c>
      <c r="B34" s="75" t="inlineStr">
        <is>
          <t>2026-07-21T19:44:19Z</t>
        </is>
      </c>
      <c r="C34" s="60" t="inlineStr">
        <is>
          <t>Global</t>
        </is>
      </c>
      <c r="D34" s="60" t="inlineStr">
        <is>
          <t>Global</t>
        </is>
      </c>
      <c r="E34" s="60" t="inlineStr">
        <is>
          <t>Innovation Policy | Fusion Energy</t>
        </is>
      </c>
      <c r="F34" s="76" t="n">
        <v>2</v>
      </c>
      <c r="G34" s="60" t="inlineStr">
        <is>
          <t>Industry Association</t>
        </is>
      </c>
      <c r="H34" s="60" t="inlineStr">
        <is>
          <t>Fusion Industry Association</t>
        </is>
      </c>
      <c r="I34" s="60" t="inlineStr">
        <is>
          <t>FIAとクリーンエアタスクフォースが核融合の原則を発表</t>
        </is>
      </c>
      <c r="J34" s="60" t="inlineStr">
        <is>
          <t>核融合産業協会は、クリーンエアタスクフォースと協力して、核融合のコードと基準に関する原則を発表しました。</t>
        </is>
      </c>
      <c r="K34" s="60" t="inlineStr">
        <is>
          <t>https://www.fusionindustryassociation.org/fia-and-clean-air-task-force-publish-principles-on-codes-and-standards/?utm_source=rss&amp;utm_medium=rss&amp;utm_campaign=fia-and-clean-air-task-force-publish-principles-on-codes-and-standards</t>
        </is>
      </c>
      <c r="L34" s="60" t="inlineStr">
        <is>
          <t>2366dc909672b56b77a196bd</t>
        </is>
      </c>
      <c r="M34" s="75" t="inlineStr">
        <is>
          <t>2026-07-26T18:56:03+09:00</t>
        </is>
      </c>
      <c r="N34" s="60" t="inlineStr">
        <is>
          <t>New</t>
        </is>
      </c>
      <c r="O34" s="60" t="inlineStr"/>
    </row>
    <row r="35" ht="42" customHeight="1">
      <c r="A35" s="75" t="inlineStr">
        <is>
          <t>2026-07-26T18:56:03+09:00</t>
        </is>
      </c>
      <c r="B35" s="75" t="inlineStr">
        <is>
          <t>2026-07-21T15:06:49Z</t>
        </is>
      </c>
      <c r="C35" s="60" t="inlineStr">
        <is>
          <t>EU &amp; Europe</t>
        </is>
      </c>
      <c r="D35" s="60" t="inlineStr">
        <is>
          <t>United Kingdom</t>
        </is>
      </c>
      <c r="E35" s="60" t="inlineStr">
        <is>
          <t>Innovation Policy</t>
        </is>
      </c>
      <c r="F35" s="76" t="n">
        <v>3</v>
      </c>
      <c r="G35" s="60" t="inlineStr">
        <is>
          <t>Government</t>
        </is>
      </c>
      <c r="H35" s="60" t="inlineStr">
        <is>
          <t>UK DSIT</t>
        </is>
      </c>
      <c r="I35" s="60" t="inlineStr">
        <is>
          <t>DSITの人材管理情報（2026年6月）</t>
        </is>
      </c>
      <c r="J35" s="60" t="inlineStr">
        <is>
          <t>部門のスタッフ数とコストに関する報告が行われています。</t>
        </is>
      </c>
      <c r="K35" s="60" t="inlineStr">
        <is>
          <t>https://www.gov.uk/government/publications/dsit-workforce-management-information-june-2026</t>
        </is>
      </c>
      <c r="L35" s="60" t="inlineStr">
        <is>
          <t>68c02c5c6a2ee3c9c91fc7f1</t>
        </is>
      </c>
      <c r="M35" s="75" t="inlineStr">
        <is>
          <t>2026-07-26T18:56:03+09:00</t>
        </is>
      </c>
      <c r="N35" s="60" t="inlineStr">
        <is>
          <t>New</t>
        </is>
      </c>
      <c r="O35" s="60" t="inlineStr"/>
    </row>
    <row r="36" ht="42" customHeight="1">
      <c r="A36" s="75" t="inlineStr">
        <is>
          <t>2026-07-26T18:56:03+09:00</t>
        </is>
      </c>
      <c r="B36" s="75" t="inlineStr">
        <is>
          <t>2026-07-21T15:06:31Z</t>
        </is>
      </c>
      <c r="C36" s="60" t="inlineStr">
        <is>
          <t>EU &amp; Europe</t>
        </is>
      </c>
      <c r="D36" s="60" t="inlineStr">
        <is>
          <t>United Kingdom</t>
        </is>
      </c>
      <c r="E36" s="60" t="inlineStr">
        <is>
          <t>Innovation Policy</t>
        </is>
      </c>
      <c r="F36" s="76" t="n">
        <v>5</v>
      </c>
      <c r="G36" s="60" t="inlineStr">
        <is>
          <t>Government</t>
        </is>
      </c>
      <c r="H36" s="60" t="inlineStr">
        <is>
          <t>UK DSIT</t>
        </is>
      </c>
      <c r="I36" s="60" t="inlineStr">
        <is>
          <t>TechFirst地域支援プログラムの詳細</t>
        </is>
      </c>
      <c r="J36" s="60" t="inlineStr">
        <is>
          <t>TechFirstの地域助成金プログラムの詳細が示されており、デジタルスキルを向上させ、テクノロジー職への支援を行います。</t>
        </is>
      </c>
      <c r="K36" s="60" t="inlineStr">
        <is>
          <t>https://www.gov.uk/government/publications/techlocal</t>
        </is>
      </c>
      <c r="L36" s="60" t="inlineStr">
        <is>
          <t>88893e13a25a6efc42ed57ea</t>
        </is>
      </c>
      <c r="M36" s="75" t="inlineStr">
        <is>
          <t>2026-07-26T18:56:03+09:00</t>
        </is>
      </c>
      <c r="N36" s="60" t="inlineStr">
        <is>
          <t>New</t>
        </is>
      </c>
      <c r="O36" s="60" t="inlineStr"/>
    </row>
    <row r="37" ht="42" customHeight="1">
      <c r="A37" s="75" t="inlineStr">
        <is>
          <t>2026-07-26T18:56:03+09:00</t>
        </is>
      </c>
      <c r="B37" s="75" t="inlineStr">
        <is>
          <t>2026-07-21T15:05:29Z</t>
        </is>
      </c>
      <c r="C37" s="60" t="inlineStr">
        <is>
          <t>EU &amp; Europe</t>
        </is>
      </c>
      <c r="D37" s="60" t="inlineStr">
        <is>
          <t>United Kingdom</t>
        </is>
      </c>
      <c r="E37" s="60" t="inlineStr">
        <is>
          <t>Innovation Policy</t>
        </is>
      </c>
      <c r="F37" s="76" t="n">
        <v>3</v>
      </c>
      <c r="G37" s="60" t="inlineStr">
        <is>
          <t>Government</t>
        </is>
      </c>
      <c r="H37" s="60" t="inlineStr">
        <is>
          <t>UK DSIT</t>
        </is>
      </c>
      <c r="I37" s="60" t="inlineStr">
        <is>
          <t>TechFirstのPhD支援</t>
        </is>
      </c>
      <c r="J37" s="60" t="inlineStr">
        <is>
          <t>TechFirstの一部として、UKの急成長するテクノロジーセクターへの道を開く政府のスキルプログラムです。</t>
        </is>
      </c>
      <c r="K37" s="60" t="inlineStr">
        <is>
          <t>https://www.gov.uk/guidance/techexpert</t>
        </is>
      </c>
      <c r="L37" s="60" t="inlineStr">
        <is>
          <t>406416679082f87595cbd50b</t>
        </is>
      </c>
      <c r="M37" s="75" t="inlineStr">
        <is>
          <t>2026-07-26T18:56:03+09:00</t>
        </is>
      </c>
      <c r="N37" s="60" t="inlineStr">
        <is>
          <t>New</t>
        </is>
      </c>
      <c r="O37" s="60" t="inlineStr"/>
    </row>
    <row r="38" ht="42" customHeight="1">
      <c r="A38" s="75" t="inlineStr">
        <is>
          <t>2026-07-26T18:56:03+09:00</t>
        </is>
      </c>
      <c r="B38" s="75" t="inlineStr">
        <is>
          <t>2026-07-21T15:05:21Z</t>
        </is>
      </c>
      <c r="C38" s="60" t="inlineStr">
        <is>
          <t>EU &amp; Europe</t>
        </is>
      </c>
      <c r="D38" s="60" t="inlineStr">
        <is>
          <t>United Kingdom</t>
        </is>
      </c>
      <c r="E38" s="60" t="inlineStr">
        <is>
          <t>Innovation Policy</t>
        </is>
      </c>
      <c r="F38" s="76" t="n">
        <v>3</v>
      </c>
      <c r="G38" s="60" t="inlineStr">
        <is>
          <t>Government</t>
        </is>
      </c>
      <c r="H38" s="60" t="inlineStr">
        <is>
          <t>UK DSIT</t>
        </is>
      </c>
      <c r="I38" s="60" t="inlineStr">
        <is>
          <t>UKのテクノロジー分野を支援するTechFirst</t>
        </is>
      </c>
      <c r="J38" s="60" t="inlineStr">
        <is>
          <t>TechFirstは、UKの急成長するテクノロジーセクターへの道を開く政府の主力スキルプログラムです。</t>
        </is>
      </c>
      <c r="K38" s="60" t="inlineStr">
        <is>
          <t>https://www.gov.uk/guidance/techfirst</t>
        </is>
      </c>
      <c r="L38" s="60" t="inlineStr">
        <is>
          <t>4ae9e496e9b66c66de074041</t>
        </is>
      </c>
      <c r="M38" s="75" t="inlineStr">
        <is>
          <t>2026-07-26T18:56:03+09:00</t>
        </is>
      </c>
      <c r="N38" s="60" t="inlineStr">
        <is>
          <t>New</t>
        </is>
      </c>
      <c r="O38" s="60" t="inlineStr"/>
    </row>
    <row r="39" ht="42" customHeight="1">
      <c r="A39" s="75" t="inlineStr">
        <is>
          <t>2026-07-26T18:56:03+09:00</t>
        </is>
      </c>
      <c r="B39" s="75" t="inlineStr">
        <is>
          <t>2026-07-21T15:05:11Z</t>
        </is>
      </c>
      <c r="C39" s="60" t="inlineStr">
        <is>
          <t>EU &amp; Europe</t>
        </is>
      </c>
      <c r="D39" s="60" t="inlineStr">
        <is>
          <t>United Kingdom</t>
        </is>
      </c>
      <c r="E39" s="60" t="inlineStr">
        <is>
          <t>Innovation Policy | Semiconductors &amp; Telecom</t>
        </is>
      </c>
      <c r="F39" s="76" t="n">
        <v>3</v>
      </c>
      <c r="G39" s="60" t="inlineStr">
        <is>
          <t>Government</t>
        </is>
      </c>
      <c r="H39" s="60" t="inlineStr">
        <is>
          <t>UK DSIT</t>
        </is>
      </c>
      <c r="I39" s="60" t="inlineStr">
        <is>
          <t>固定通信近代化のための政策文書</t>
        </is>
      </c>
      <c r="J39" s="60" t="inlineStr">
        <is>
          <t>この文書は、通信事業者が現在および将来の固定通信の近代化を行う際に従うべきステップを示しています。</t>
        </is>
      </c>
      <c r="K39" s="60" t="inlineStr">
        <is>
          <t>https://www.gov.uk/government/publications/fixed-telecoms-modernisation-charter</t>
        </is>
      </c>
      <c r="L39" s="60" t="inlineStr">
        <is>
          <t>d5e4431b57fcb4b6271f6c72</t>
        </is>
      </c>
      <c r="M39" s="75" t="inlineStr">
        <is>
          <t>2026-07-26T18:56:03+09:00</t>
        </is>
      </c>
      <c r="N39" s="60" t="inlineStr">
        <is>
          <t>New</t>
        </is>
      </c>
      <c r="O39" s="60" t="inlineStr"/>
    </row>
    <row r="40" ht="42" customHeight="1">
      <c r="A40" s="75" t="inlineStr">
        <is>
          <t>2026-07-26T18:56:03+09:00</t>
        </is>
      </c>
      <c r="B40" s="75" t="inlineStr">
        <is>
          <t>2026-07-21T14:48:28Z</t>
        </is>
      </c>
      <c r="C40" s="60" t="inlineStr">
        <is>
          <t>EU &amp; Europe</t>
        </is>
      </c>
      <c r="D40" s="60" t="inlineStr">
        <is>
          <t>Global</t>
        </is>
      </c>
      <c r="E40" s="60" t="inlineStr">
        <is>
          <t>Fusion Energy</t>
        </is>
      </c>
      <c r="F40" s="76" t="n">
        <v>3</v>
      </c>
      <c r="G40" s="60" t="inlineStr">
        <is>
          <t>Industry Association</t>
        </is>
      </c>
      <c r="H40" s="60" t="inlineStr">
        <is>
          <t>Fusion Industry Association</t>
        </is>
      </c>
      <c r="I40" s="60" t="inlineStr">
        <is>
          <t>EUの核融合資金調達計画を示すFIA</t>
        </is>
      </c>
      <c r="J40" s="60" t="inlineStr">
        <is>
          <t>核融合産業協会は、商業核融合エネルギーのためのEU資金調達の実用的なロードマップを発表しました。研究から実証、商業展開に至る各段階で必要な資金調達手段の進化が求められています。</t>
        </is>
      </c>
      <c r="K40" s="60" t="inlineStr">
        <is>
          <t>https://www.fusionindustryassociation.org/fia-outlines-eu-financing-pathway-for-fusion/?utm_source=rss&amp;utm_medium=rss&amp;utm_campaign=fia-outlines-eu-financing-pathway-for-fusion</t>
        </is>
      </c>
      <c r="L40" s="60" t="inlineStr">
        <is>
          <t>88af233d904d670250fa5a31</t>
        </is>
      </c>
      <c r="M40" s="75" t="inlineStr">
        <is>
          <t>2026-07-26T18:56:03+09:00</t>
        </is>
      </c>
      <c r="N40" s="60" t="inlineStr">
        <is>
          <t>New</t>
        </is>
      </c>
      <c r="O40" s="60" t="inlineStr"/>
    </row>
    <row r="41" ht="42" customHeight="1">
      <c r="A41" s="75" t="inlineStr">
        <is>
          <t>2026-07-26T18:56:03+09:00</t>
        </is>
      </c>
      <c r="B41" s="75" t="inlineStr">
        <is>
          <t>2026-07-21T13:30:36Z</t>
        </is>
      </c>
      <c r="C41" s="60" t="inlineStr">
        <is>
          <t>United States</t>
        </is>
      </c>
      <c r="D41" s="60" t="inlineStr">
        <is>
          <t>United States</t>
        </is>
      </c>
      <c r="E41" s="60" t="inlineStr">
        <is>
          <t>Innovation Policy | Artificial Intelligence</t>
        </is>
      </c>
      <c r="F41" s="76" t="n">
        <v>3</v>
      </c>
      <c r="G41" s="60" t="inlineStr">
        <is>
          <t>Policy Institute</t>
        </is>
      </c>
      <c r="H41" s="60" t="inlineStr">
        <is>
          <t>CSET</t>
        </is>
      </c>
      <c r="I41" s="60" t="inlineStr">
        <is>
          <t>AIシステムはなぜ誤動作するのか？</t>
        </is>
      </c>
      <c r="J41" s="60" t="inlineStr">
        <is>
          <t>AIシステムの誤動作の原因を探るブログ記事で、政策的な視点からの考察が行われている。</t>
        </is>
      </c>
      <c r="K41" s="60" t="inlineStr">
        <is>
          <t>https://cset.georgetown.edu/article/why-do-ai-systems-misbehave/</t>
        </is>
      </c>
      <c r="L41" s="60" t="inlineStr">
        <is>
          <t>3e1aa390ad965782cc86c386</t>
        </is>
      </c>
      <c r="M41" s="75" t="inlineStr">
        <is>
          <t>2026-07-26T18:56:03+09:00</t>
        </is>
      </c>
      <c r="N41" s="60" t="inlineStr">
        <is>
          <t>New</t>
        </is>
      </c>
      <c r="O41" s="60" t="inlineStr"/>
    </row>
    <row r="42" ht="42" customHeight="1">
      <c r="A42" s="75" t="inlineStr">
        <is>
          <t>2026-07-26T18:56:03+09:00</t>
        </is>
      </c>
      <c r="B42" s="75" t="inlineStr">
        <is>
          <t>2026-07-21T12:10:00Z</t>
        </is>
      </c>
      <c r="C42" s="60" t="inlineStr">
        <is>
          <t>Asia</t>
        </is>
      </c>
      <c r="D42" s="60" t="inlineStr">
        <is>
          <t>United States</t>
        </is>
      </c>
      <c r="E42" s="60" t="inlineStr">
        <is>
          <t>Artificial Intelligence</t>
        </is>
      </c>
      <c r="F42" s="76" t="n">
        <v>1</v>
      </c>
      <c r="G42" s="60" t="inlineStr">
        <is>
          <t>Major Media</t>
        </is>
      </c>
      <c r="H42" s="60" t="inlineStr">
        <is>
          <t>MIT Technology Review</t>
        </is>
      </c>
      <c r="I42" s="60" t="inlineStr">
        <is>
          <t>ダウンロード：中国のAIがホワイトハウスを分断し、記録的な著作権支払い</t>
        </is>
      </c>
      <c r="J42" s="60" t="inlineStr">
        <is>
          <t>中国のAIモデルに関する議論が、トランプ政権のAI政策に影響を与えていることを報告。</t>
        </is>
      </c>
      <c r="K42" s="60" t="inlineStr">
        <is>
          <t>https://www.technologyreview.com/2026/07/21/1140685/the-download-chinese-ai-divides-white-house-anthropic-copyright-settlement/</t>
        </is>
      </c>
      <c r="L42" s="60" t="inlineStr">
        <is>
          <t>f9addf0904b9de5b7bcc326b</t>
        </is>
      </c>
      <c r="M42" s="75" t="inlineStr">
        <is>
          <t>2026-07-26T18:56:03+09:00</t>
        </is>
      </c>
      <c r="N42" s="60" t="inlineStr">
        <is>
          <t>New</t>
        </is>
      </c>
      <c r="O42" s="60" t="inlineStr"/>
    </row>
    <row r="43" ht="42" customHeight="1">
      <c r="A43" s="75" t="inlineStr">
        <is>
          <t>2026-07-26T18:56:03+09:00</t>
        </is>
      </c>
      <c r="B43" s="75" t="inlineStr">
        <is>
          <t>2026-07-21T07:00:00Z</t>
        </is>
      </c>
      <c r="C43" s="60" t="inlineStr">
        <is>
          <t>Global</t>
        </is>
      </c>
      <c r="D43" s="60" t="inlineStr">
        <is>
          <t>United States</t>
        </is>
      </c>
      <c r="E43" s="60" t="inlineStr">
        <is>
          <t>Artificial Intelligence</t>
        </is>
      </c>
      <c r="F43" s="76" t="n">
        <v>1</v>
      </c>
      <c r="G43" s="60" t="inlineStr">
        <is>
          <t>Official Company</t>
        </is>
      </c>
      <c r="H43" s="60" t="inlineStr">
        <is>
          <t>OpenAI News</t>
        </is>
      </c>
      <c r="I43" s="60" t="inlineStr">
        <is>
          <t>OpenAIとHugging Faceがモデル評価中のセキュリティインシデントに対処するために提携</t>
        </is>
      </c>
      <c r="J43" s="60" t="inlineStr">
        <is>
          <t>OpenAIとHugging Faceは、AIモデル評価中のセキュリティインシデントに関する初期の調査結果を共有し、サイバー防御者への教訓を強調した。</t>
        </is>
      </c>
      <c r="K43" s="60" t="inlineStr">
        <is>
          <t>https://openai.com/index/hugging-face-model-evaluation-security-incident</t>
        </is>
      </c>
      <c r="L43" s="60" t="inlineStr">
        <is>
          <t>d925d8c91f460a44f07089c2</t>
        </is>
      </c>
      <c r="M43" s="75" t="inlineStr">
        <is>
          <t>2026-07-26T18:56:03+09:00</t>
        </is>
      </c>
      <c r="N43" s="60" t="inlineStr">
        <is>
          <t>New</t>
        </is>
      </c>
      <c r="O43" s="60" t="inlineStr"/>
    </row>
    <row r="44" ht="42" customHeight="1">
      <c r="A44" s="75" t="inlineStr">
        <is>
          <t>2026-07-26T18:56:03+09:00</t>
        </is>
      </c>
      <c r="B44" s="75" t="inlineStr">
        <is>
          <t>2026-07-20T15:55:00Z</t>
        </is>
      </c>
      <c r="C44" s="60" t="inlineStr">
        <is>
          <t>United States</t>
        </is>
      </c>
      <c r="D44" s="60" t="inlineStr">
        <is>
          <t>United States</t>
        </is>
      </c>
      <c r="E44" s="60" t="inlineStr">
        <is>
          <t>Semiconductors &amp; Telecom</t>
        </is>
      </c>
      <c r="F44" s="76" t="n">
        <v>0</v>
      </c>
      <c r="G44" s="60" t="inlineStr">
        <is>
          <t>Major Media</t>
        </is>
      </c>
      <c r="H44" s="60" t="inlineStr">
        <is>
          <t>IEEE Spectrum</t>
        </is>
      </c>
      <c r="I44" s="60" t="inlineStr">
        <is>
          <t>先端半導体故障分析のためのSEMガイド低電圧FIB仕上げ</t>
        </is>
      </c>
      <c r="J44" s="60" t="inlineStr">
        <is>
          <t>ZEISS Crossbeam 750 FIBSEMが、精密TEMラメラ準備や高度なナノファブリケーションの新基準を設定し、故障分析を加速する方法を紹介。</t>
        </is>
      </c>
      <c r="K44" s="60" t="inlineStr">
        <is>
          <t>https://event.on24.com/wcc/r/5418459/287E3D5B99470D34C830D69A24B3B207</t>
        </is>
      </c>
      <c r="L44" s="60" t="inlineStr">
        <is>
          <t>73d0028e337a76c2cd00f1bc</t>
        </is>
      </c>
      <c r="M44" s="75" t="inlineStr">
        <is>
          <t>2026-07-26T18:56:03+09:00</t>
        </is>
      </c>
      <c r="N44" s="60" t="inlineStr">
        <is>
          <t>New</t>
        </is>
      </c>
      <c r="O44" s="60" t="inlineStr"/>
    </row>
    <row r="45" ht="42" customHeight="1">
      <c r="A45" s="75" t="inlineStr">
        <is>
          <t>2026-07-26T18:56:03+09:00</t>
        </is>
      </c>
      <c r="B45" s="75" t="inlineStr">
        <is>
          <t>2026-07-18T07:27:54Z</t>
        </is>
      </c>
      <c r="C45" s="60" t="inlineStr">
        <is>
          <t>Global</t>
        </is>
      </c>
      <c r="D45" s="60" t="inlineStr">
        <is>
          <t>Global</t>
        </is>
      </c>
      <c r="E45" s="60" t="inlineStr">
        <is>
          <t>Healthcare</t>
        </is>
      </c>
      <c r="F45" s="76" t="n">
        <v>4</v>
      </c>
      <c r="G45" s="60" t="inlineStr">
        <is>
          <t>Intergovernmental</t>
        </is>
      </c>
      <c r="H45" s="60" t="inlineStr">
        <is>
          <t>WHO News</t>
        </is>
      </c>
      <c r="I45" s="60" t="inlineStr">
        <is>
          <t>WHO加盟国が病原体アクセスと利益配分に関する交渉を継続</t>
        </is>
      </c>
      <c r="J45" s="60" t="inlineStr">
        <is>
          <t>WHO加盟国は、パンデミック協定の中心要素である病原体アクセスと利益配分に関する交渉を進め、将来のパンデミックに対する迅速かつ効果的な対応を支える枠組みの最終化に向けた議論を行っています。</t>
        </is>
      </c>
      <c r="K45" s="60" t="inlineStr">
        <is>
          <t>https://www.who.int/news/item/20-07-2026-who-member-states-continue-negotiations-on-the-pathogen-access-and-benefit-sharing-annex</t>
        </is>
      </c>
      <c r="L45" s="60" t="inlineStr">
        <is>
          <t>14dd15caca066d18dfcf2e34</t>
        </is>
      </c>
      <c r="M45" s="75" t="inlineStr">
        <is>
          <t>2026-07-26T18:56:03+09:00</t>
        </is>
      </c>
      <c r="N45" s="60" t="inlineStr">
        <is>
          <t>New</t>
        </is>
      </c>
      <c r="O45" s="60" t="inlineStr"/>
    </row>
    <row r="46" ht="42" customHeight="1">
      <c r="A46" s="75" t="inlineStr">
        <is>
          <t>2026-07-26T18:56:03+09:00</t>
        </is>
      </c>
      <c r="B46" s="75" t="inlineStr">
        <is>
          <t>2026-07-17T20:26:18Z</t>
        </is>
      </c>
      <c r="C46" s="60" t="inlineStr">
        <is>
          <t>United States</t>
        </is>
      </c>
      <c r="D46" s="60" t="inlineStr">
        <is>
          <t>Global</t>
        </is>
      </c>
      <c r="E46" s="60" t="inlineStr">
        <is>
          <t>Fusion Energy</t>
        </is>
      </c>
      <c r="F46" s="76" t="n">
        <v>3</v>
      </c>
      <c r="G46" s="60" t="inlineStr">
        <is>
          <t>Industry Association</t>
        </is>
      </c>
      <c r="H46" s="60" t="inlineStr">
        <is>
          <t>Fusion Industry Association</t>
        </is>
      </c>
      <c r="I46" s="60" t="inlineStr">
        <is>
          <t>2026年グローバル核融合産業報告書の発表</t>
        </is>
      </c>
      <c r="J46" s="60" t="inlineStr">
        <is>
          <t>核融合産業協会は、2026年グローバル核融合産業報告書を発表し、米国の政策に関連する議論を行いました。</t>
        </is>
      </c>
      <c r="K46" s="60" t="inlineStr">
        <is>
          <t>https://www.fusionindustryassociation.org/fia-launches-the-2026-global-fusion-industry-report-in-new-york-city-washington-d-c-and-london/?utm_source=rss&amp;utm_medium=rss&amp;utm_campaign=fia-launches-the-2026-global-fusion-industry-report-in-new-york-city-washington-d-c-and-london</t>
        </is>
      </c>
      <c r="L46" s="60" t="inlineStr">
        <is>
          <t>186c1d4e76c09a864706432c</t>
        </is>
      </c>
      <c r="M46" s="75" t="inlineStr">
        <is>
          <t>2026-07-26T18:56:03+09:00</t>
        </is>
      </c>
      <c r="N46" s="60" t="inlineStr">
        <is>
          <t>New</t>
        </is>
      </c>
      <c r="O46" s="60" t="inlineStr"/>
    </row>
    <row r="47" ht="42" customHeight="1">
      <c r="A47" s="75" t="inlineStr">
        <is>
          <t>2026-07-26T18:56:03+09:00</t>
        </is>
      </c>
      <c r="B47" s="75" t="inlineStr">
        <is>
          <t>2026-07-17T18:42:47Z</t>
        </is>
      </c>
      <c r="C47" s="60" t="inlineStr">
        <is>
          <t>EU &amp; Europe</t>
        </is>
      </c>
      <c r="D47" s="60" t="inlineStr">
        <is>
          <t>Global</t>
        </is>
      </c>
      <c r="E47" s="60" t="inlineStr">
        <is>
          <t>Innovation Policy | Fusion Energy</t>
        </is>
      </c>
      <c r="F47" s="76" t="n">
        <v>4</v>
      </c>
      <c r="G47" s="60" t="inlineStr">
        <is>
          <t>Industry Association</t>
        </is>
      </c>
      <c r="H47" s="60" t="inlineStr">
        <is>
          <t>Fusion Industry Association</t>
        </is>
      </c>
      <c r="I47" s="60" t="inlineStr">
        <is>
          <t>EUの核融合競争力を確保する必要性に関する論文発表</t>
        </is>
      </c>
      <c r="J47" s="60" t="inlineStr">
        <is>
          <t>国際法専門家グループが発表した論文は、ヨーロッパが商業核融合において競争優位を持っているが、それを維持するために今行動する必要があると主張しています。</t>
        </is>
      </c>
      <c r="K47"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47" s="60" t="inlineStr">
        <is>
          <t>7ef6110ab078602757409abf</t>
        </is>
      </c>
      <c r="M47" s="75" t="inlineStr">
        <is>
          <t>2026-07-26T18:56:03+09:00</t>
        </is>
      </c>
      <c r="N47" s="60" t="inlineStr">
        <is>
          <t>New</t>
        </is>
      </c>
      <c r="O47" s="60" t="inlineStr"/>
    </row>
    <row r="48" ht="42" customHeight="1">
      <c r="A48" s="75" t="inlineStr">
        <is>
          <t>2026-07-26T18:56:03+09:00</t>
        </is>
      </c>
      <c r="B48" s="75" t="inlineStr">
        <is>
          <t>2026-07-15T21:00:00Z</t>
        </is>
      </c>
      <c r="C48" s="60" t="inlineStr">
        <is>
          <t>United States</t>
        </is>
      </c>
      <c r="D48" s="60" t="inlineStr">
        <is>
          <t>United States</t>
        </is>
      </c>
      <c r="E48" s="60" t="inlineStr">
        <is>
          <t>Artificial Intelligence | Innovation Policy</t>
        </is>
      </c>
      <c r="F48" s="76" t="n">
        <v>3</v>
      </c>
      <c r="G48" s="60" t="inlineStr">
        <is>
          <t>Policy Institute</t>
        </is>
      </c>
      <c r="H48" s="60" t="inlineStr">
        <is>
          <t>CSET</t>
        </is>
      </c>
      <c r="I48" s="60" t="inlineStr">
        <is>
          <t>GPT-Red：OpenAIが構築したAIスーパーハッカー</t>
        </is>
      </c>
      <c r="J48" s="60" t="inlineStr">
        <is>
          <t>OpenAIが開発したGPT-Redは、大規模言語モデルの脆弱性を自動的に特定し、サイバー攻撃に対する防御を強化するためのAIスーパーハッカーです。</t>
        </is>
      </c>
      <c r="K48" s="60" t="inlineStr">
        <is>
          <t>https://cset.georgetown.edu/article/meet-gpt-red-an-llm-super-hacker-openai-built-to-make-its-models-safer/</t>
        </is>
      </c>
      <c r="L48" s="60" t="inlineStr">
        <is>
          <t>f64391d3daf689e78e7ac442</t>
        </is>
      </c>
      <c r="M48" s="75" t="inlineStr">
        <is>
          <t>2026-07-26T18:56:03+09:00</t>
        </is>
      </c>
      <c r="N48" s="60" t="inlineStr">
        <is>
          <t>New</t>
        </is>
      </c>
      <c r="O48" s="60" t="inlineStr"/>
    </row>
    <row r="49" ht="42" customHeight="1">
      <c r="A49" s="75" t="inlineStr">
        <is>
          <t>2026-07-26T18:56:03+09:00</t>
        </is>
      </c>
      <c r="B49" s="75" t="inlineStr">
        <is>
          <t>2026-07-15T17:47:57Z</t>
        </is>
      </c>
      <c r="C49" s="60" t="inlineStr">
        <is>
          <t>Asia</t>
        </is>
      </c>
      <c r="D49" s="60" t="inlineStr">
        <is>
          <t>Global</t>
        </is>
      </c>
      <c r="E49" s="60" t="inlineStr">
        <is>
          <t>Fusion Energy</t>
        </is>
      </c>
      <c r="F49" s="76" t="n">
        <v>3</v>
      </c>
      <c r="G49" s="60" t="inlineStr">
        <is>
          <t>Industry Association</t>
        </is>
      </c>
      <c r="H49" s="60" t="inlineStr">
        <is>
          <t>Fusion Industry Association</t>
        </is>
      </c>
      <c r="I49" s="60" t="inlineStr">
        <is>
          <t>スターロライトエンジンが60.6億円を調達</t>
        </is>
      </c>
      <c r="J49" s="60" t="inlineStr">
        <is>
          <t>スターロライトエンジンは、FASTの開発を加速するために60.6億円の資金を調達しました。同社は、JT-60SAプログラムや国際的な取り組みを基にしたトカマク型核融合装置を開発しています。</t>
        </is>
      </c>
      <c r="K49" s="60" t="inlineStr">
        <is>
          <t>https://www.nikkei.com/article/DGXZQOUC152ET0V10C26A7000000/#new_tab?utm_source=rss&amp;utm_medium=rss&amp;utm_campaign=starlight-engine-raises-jpy-6-06-billion</t>
        </is>
      </c>
      <c r="L49" s="60" t="inlineStr">
        <is>
          <t>2f29b005896c3737ab846738</t>
        </is>
      </c>
      <c r="M49" s="75" t="inlineStr">
        <is>
          <t>2026-07-26T18:56:03+09:00</t>
        </is>
      </c>
      <c r="N49" s="60" t="inlineStr">
        <is>
          <t>New</t>
        </is>
      </c>
      <c r="O49" s="60" t="inlineStr"/>
    </row>
    <row r="50" ht="42" customHeight="1">
      <c r="A50" s="75" t="inlineStr">
        <is>
          <t>2026-07-26T18:56:03+09:00</t>
        </is>
      </c>
      <c r="B50" s="75" t="inlineStr">
        <is>
          <t>2026-07-15T17:43:32Z</t>
        </is>
      </c>
      <c r="C50" s="60" t="inlineStr">
        <is>
          <t>Global</t>
        </is>
      </c>
      <c r="D50" s="60" t="inlineStr">
        <is>
          <t>Global</t>
        </is>
      </c>
      <c r="E50" s="60" t="inlineStr">
        <is>
          <t>Fusion Energy</t>
        </is>
      </c>
      <c r="F50" s="76" t="n">
        <v>0</v>
      </c>
      <c r="G50" s="60" t="inlineStr">
        <is>
          <t>Industry Association</t>
        </is>
      </c>
      <c r="H50" s="60" t="inlineStr">
        <is>
          <t>Fusion Industry Association</t>
        </is>
      </c>
      <c r="I50" s="60" t="inlineStr">
        <is>
          <t>マディソンの元オスカー・マイヤー工場に核融合研究センターが設立</t>
        </is>
      </c>
      <c r="J50" s="60" t="inlineStr">
        <is>
          <t>Realta Fusionがマディソンに新しい本社と施設を設立し、核融合技術のプロトタイプを建設する計画を発表した。</t>
        </is>
      </c>
      <c r="K50"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50" s="60" t="inlineStr">
        <is>
          <t>aed2fa8a807fb17c3e6861e7</t>
        </is>
      </c>
      <c r="M50" s="75" t="inlineStr">
        <is>
          <t>2026-07-26T18:56:03+09:00</t>
        </is>
      </c>
      <c r="N50" s="60" t="inlineStr">
        <is>
          <t>New</t>
        </is>
      </c>
      <c r="O50" s="60" t="inlineStr"/>
    </row>
    <row r="51" ht="42" customHeight="1">
      <c r="A51" s="75" t="inlineStr">
        <is>
          <t>2026-07-26T18:56:03+09:00</t>
        </is>
      </c>
      <c r="B51" s="75" t="inlineStr">
        <is>
          <t>2026-07-15T00:01:54Z</t>
        </is>
      </c>
      <c r="C51" s="60" t="inlineStr">
        <is>
          <t>Global</t>
        </is>
      </c>
      <c r="D51" s="60" t="inlineStr">
        <is>
          <t>Global</t>
        </is>
      </c>
      <c r="E51" s="60" t="inlineStr">
        <is>
          <t>Healthcare</t>
        </is>
      </c>
      <c r="F51" s="76" t="n">
        <v>1</v>
      </c>
      <c r="G51" s="60" t="inlineStr">
        <is>
          <t>Intergovernmental</t>
        </is>
      </c>
      <c r="H51" s="60" t="inlineStr">
        <is>
          <t>WHO News</t>
        </is>
      </c>
      <c r="I51" s="60" t="inlineStr">
        <is>
          <t>世界の子供の予防接種率が向上、紛争やためらいにもかかわらず</t>
        </is>
      </c>
      <c r="J51" s="60" t="inlineStr">
        <is>
          <t>2025年には、世界で90%の乳児がジフテリア、破傷風、百日咳（DTP）ワクチンの少なくとも1回の接種を受け、85%が3回の接種を完了したとWHOとUNICEFの報告が示しています。しかし、依然として2019年の水準を下回っています。</t>
        </is>
      </c>
      <c r="K51" s="60" t="inlineStr">
        <is>
          <t>https://www.who.int/news/item/15-07-2026-global-childhood-immunization-coverage-inches-forward-despite-conflict-and-hesitancy---unicef--who</t>
        </is>
      </c>
      <c r="L51" s="60" t="inlineStr">
        <is>
          <t>03ea8728394fda1e18a57d66</t>
        </is>
      </c>
      <c r="M51" s="75" t="inlineStr">
        <is>
          <t>2026-07-26T18:56:03+09:00</t>
        </is>
      </c>
      <c r="N51" s="60" t="inlineStr">
        <is>
          <t>New</t>
        </is>
      </c>
      <c r="O51" s="60" t="inlineStr"/>
    </row>
    <row r="52" ht="42" customHeight="1">
      <c r="A52" s="75" t="inlineStr">
        <is>
          <t>2026-07-26T18:56:03+09:00</t>
        </is>
      </c>
      <c r="B52" s="75" t="inlineStr">
        <is>
          <t>2026-07-14T12:00:00Z</t>
        </is>
      </c>
      <c r="C52" s="60" t="inlineStr">
        <is>
          <t>United States</t>
        </is>
      </c>
      <c r="D52" s="60" t="inlineStr">
        <is>
          <t>United States</t>
        </is>
      </c>
      <c r="E52" s="60" t="inlineStr">
        <is>
          <t>Innovation Policy</t>
        </is>
      </c>
      <c r="F52" s="76" t="n">
        <v>4</v>
      </c>
      <c r="G52" s="60" t="inlineStr">
        <is>
          <t>Government</t>
        </is>
      </c>
      <c r="H52" s="60" t="inlineStr">
        <is>
          <t>NIST News</t>
        </is>
      </c>
      <c r="I52" s="60" t="inlineStr">
        <is>
          <t>NIST、微生物を殺す給湯器の新特許を取得</t>
        </is>
      </c>
      <c r="J52" s="60" t="inlineStr">
        <is>
          <t>家庭の配管内の温水が有害な細菌の繁殖地となる可能性があることから、NISTが新たな特許を取得した。</t>
        </is>
      </c>
      <c r="K52" s="60" t="inlineStr">
        <is>
          <t>https://www.nist.gov/news-events/news/2026/07/nist-receives-new-patent-microbe-killing-water-heater</t>
        </is>
      </c>
      <c r="L52" s="60" t="inlineStr">
        <is>
          <t>72b002f5a04f35d9ca1e9949</t>
        </is>
      </c>
      <c r="M52" s="75" t="inlineStr">
        <is>
          <t>2026-07-26T18:56:03+09:00</t>
        </is>
      </c>
      <c r="N52" s="60" t="inlineStr">
        <is>
          <t>New</t>
        </is>
      </c>
      <c r="O52" s="60" t="inlineStr"/>
    </row>
    <row r="53" ht="42" customHeight="1">
      <c r="A53" s="75" t="inlineStr">
        <is>
          <t>2026-07-26T18:56:03+09:00</t>
        </is>
      </c>
      <c r="B53" s="75" t="inlineStr">
        <is>
          <t>2026-07-13T21:00:00Z</t>
        </is>
      </c>
      <c r="C53" s="60" t="inlineStr">
        <is>
          <t>United States</t>
        </is>
      </c>
      <c r="D53" s="60" t="inlineStr">
        <is>
          <t>United States</t>
        </is>
      </c>
      <c r="E53" s="60" t="inlineStr">
        <is>
          <t>Innovation Policy | Artificial Intelligence</t>
        </is>
      </c>
      <c r="F53" s="76" t="n">
        <v>3</v>
      </c>
      <c r="G53" s="60" t="inlineStr">
        <is>
          <t>Policy Institute</t>
        </is>
      </c>
      <c r="H53" s="60" t="inlineStr">
        <is>
          <t>CSET</t>
        </is>
      </c>
      <c r="I53" s="60" t="inlineStr">
        <is>
          <t>米国、中国がAIを米国モデルで訓練するのを阻止しようとする</t>
        </is>
      </c>
      <c r="J53" s="60" t="inlineStr">
        <is>
          <t>米国では、中国のAI企業が米国のシステムからの出力を使用してモデルを訓練することに対する懸念が高まっており、知的財産や競争、国家安全保障に関する議論が進んでいる。</t>
        </is>
      </c>
      <c r="K53" s="60" t="inlineStr">
        <is>
          <t>https://cset.georgetown.edu/article/washington-is-looking-to-keep-china-from-training-its-ai-on-us-models/</t>
        </is>
      </c>
      <c r="L53" s="60" t="inlineStr">
        <is>
          <t>e96177000536ef3f58f8fb3c</t>
        </is>
      </c>
      <c r="M53" s="75" t="inlineStr">
        <is>
          <t>2026-07-26T18:56:03+09:00</t>
        </is>
      </c>
      <c r="N53" s="60" t="inlineStr">
        <is>
          <t>New</t>
        </is>
      </c>
      <c r="O53" s="60" t="inlineStr"/>
    </row>
    <row r="54" ht="42" customHeight="1">
      <c r="A54" s="75" t="inlineStr">
        <is>
          <t>2026-07-26T18:56:03+09:00</t>
        </is>
      </c>
      <c r="B54" s="75" t="inlineStr">
        <is>
          <t>2026-07-13T16:00:00Z</t>
        </is>
      </c>
      <c r="C54" s="60" t="inlineStr">
        <is>
          <t>Global</t>
        </is>
      </c>
      <c r="D54" s="60" t="inlineStr">
        <is>
          <t>United States</t>
        </is>
      </c>
      <c r="E54" s="60" t="inlineStr">
        <is>
          <t>Innovation Policy | Quantum</t>
        </is>
      </c>
      <c r="F54" s="76" t="n">
        <v>1</v>
      </c>
      <c r="G54" s="60" t="inlineStr">
        <is>
          <t>Official Company</t>
        </is>
      </c>
      <c r="H54" s="60" t="inlineStr">
        <is>
          <t>Microsoft Research</t>
        </is>
      </c>
      <c r="I54" s="60" t="inlineStr">
        <is>
          <t>SymCryptにおけるRust暗号の検証</t>
        </is>
      </c>
      <c r="J54" s="60" t="inlineStr">
        <is>
          <t>新しい手法が開発者がコードを書く際にその検証を助け、実装と進化の過程で速度と適応性を保つことを可能にする。</t>
        </is>
      </c>
      <c r="K54" s="60" t="inlineStr">
        <is>
          <t>https://www.microsoft.com/en-us/research/blog/verifying-rust-cryptography-in-symcrypt-from-standards-to-code/</t>
        </is>
      </c>
      <c r="L54" s="60" t="inlineStr">
        <is>
          <t>a7866758cf94a3c5e9d26534</t>
        </is>
      </c>
      <c r="M54" s="75" t="inlineStr">
        <is>
          <t>2026-07-26T18:56:03+09:00</t>
        </is>
      </c>
      <c r="N54" s="60" t="inlineStr">
        <is>
          <t>New</t>
        </is>
      </c>
      <c r="O54" s="60" t="inlineStr"/>
    </row>
    <row r="55" ht="42" customHeight="1">
      <c r="A55" s="75" t="inlineStr">
        <is>
          <t>2026-07-26T18:56:03+09:00</t>
        </is>
      </c>
      <c r="B55" s="75" t="inlineStr">
        <is>
          <t>2026-07-13T12:00:41Z</t>
        </is>
      </c>
      <c r="C55" s="60" t="inlineStr">
        <is>
          <t>Global</t>
        </is>
      </c>
      <c r="D55" s="60" t="inlineStr">
        <is>
          <t>United States</t>
        </is>
      </c>
      <c r="E55" s="60" t="inlineStr">
        <is>
          <t>Semiconductors &amp; Telecom | Artificial Intelligence</t>
        </is>
      </c>
      <c r="F55" s="76" t="n">
        <v>3</v>
      </c>
      <c r="G55" s="60" t="inlineStr">
        <is>
          <t>Official Company</t>
        </is>
      </c>
      <c r="H55" s="60" t="inlineStr">
        <is>
          <t>Intel Newsroom</t>
        </is>
      </c>
      <c r="I55" s="60" t="inlineStr">
        <is>
          <t>インテル、ヨーロッパでの製造拡大に50億ユーロを投資</t>
        </is>
      </c>
      <c r="J55" s="60" t="inlineStr">
        <is>
          <t>インテルはアイルランドのLeixlipキャンパスに50億ユーロを投資し、AIと高性能コンピューティング向けの先進的なシリコンの需要に応えるための製造能力を拡大する。</t>
        </is>
      </c>
      <c r="K55" s="60" t="inlineStr">
        <is>
          <t>https://newsroom.intel.com/intel-foundry/intel-invests-5-billion-euro-to-expand-manufacturing-in-europe</t>
        </is>
      </c>
      <c r="L55" s="60" t="inlineStr">
        <is>
          <t>297a8b5b279e5916cf45fddb</t>
        </is>
      </c>
      <c r="M55" s="75" t="inlineStr">
        <is>
          <t>2026-07-26T18:56:03+09:00</t>
        </is>
      </c>
      <c r="N55" s="60" t="inlineStr">
        <is>
          <t>New</t>
        </is>
      </c>
      <c r="O55" s="60" t="inlineStr"/>
    </row>
    <row r="56" ht="42" customHeight="1">
      <c r="A56" s="75" t="inlineStr">
        <is>
          <t>2026-07-26T18:56:03+09:00</t>
        </is>
      </c>
      <c r="B56" s="75" t="inlineStr">
        <is>
          <t>2026-07-12T21:00:00Z</t>
        </is>
      </c>
      <c r="C56" s="60" t="inlineStr">
        <is>
          <t>Asia</t>
        </is>
      </c>
      <c r="D56" s="60" t="inlineStr">
        <is>
          <t>United States</t>
        </is>
      </c>
      <c r="E56" s="60" t="inlineStr">
        <is>
          <t>Artificial Intelligence | Innovation Policy</t>
        </is>
      </c>
      <c r="F56" s="76" t="n">
        <v>3</v>
      </c>
      <c r="G56" s="60" t="inlineStr">
        <is>
          <t>Policy Institute</t>
        </is>
      </c>
      <c r="H56" s="60" t="inlineStr">
        <is>
          <t>CSET</t>
        </is>
      </c>
      <c r="I56" s="60" t="inlineStr">
        <is>
          <t>企業がコスト削減のために中国のAIモデルに注目</t>
        </is>
      </c>
      <c r="J56" s="60" t="inlineStr">
        <is>
          <t>企業がコスト削減を目的に中国のAIモデルを採用する動きが広がっており、低コストや改善された能力、オープンウェイトシステムの柔軟性がその要因とされている。</t>
        </is>
      </c>
      <c r="K56" s="60" t="inlineStr">
        <is>
          <t>https://cset.georgetown.edu/article/companies-turn-to-chinese-ai-models-to-cut-costs/</t>
        </is>
      </c>
      <c r="L56" s="60" t="inlineStr">
        <is>
          <t>9e1bc06c29b61bed048d4f44</t>
        </is>
      </c>
      <c r="M56" s="75" t="inlineStr">
        <is>
          <t>2026-07-26T18:56:03+09:00</t>
        </is>
      </c>
      <c r="N56" s="60" t="inlineStr">
        <is>
          <t>New</t>
        </is>
      </c>
      <c r="O56" s="60" t="inlineStr"/>
    </row>
  </sheetData>
  <autoFilter ref="A3:O56"/>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56"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s>
  <pageMargins left="0.7" right="0.7" top="0.75" bottom="0.75" header="0.3" footer="0.3"/>
  <tableParts count="1">
    <tablePart xmlns:r="http://schemas.openxmlformats.org/officeDocument/2006/relationships" r:id="rId54"/>
  </tableParts>
</worksheet>
</file>

<file path=xl/worksheets/sheet3.xml><?xml version="1.0" encoding="utf-8"?>
<worksheet xmlns="http://schemas.openxmlformats.org/spreadsheetml/2006/main">
  <sheetPr>
    <outlinePr summaryBelow="1" summaryRight="1"/>
    <pageSetUpPr/>
  </sheetPr>
  <dimension ref="A1:K3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s>
  <sheetData>
    <row r="1" ht="34" customHeight="1">
      <c r="A1" s="4" t="inlineStr">
        <is>
          <t>Source Registry</t>
        </is>
      </c>
    </row>
    <row r="2" ht="25" customHeight="1">
      <c r="A2" s="67" t="inlineStr">
        <is>
          <t>Allowlist: government, official companies, major media, policy institutes, and leading journals</t>
        </is>
      </c>
      <c r="B2" s="68" t="n"/>
      <c r="C2" s="68" t="n"/>
      <c r="D2" s="68" t="n"/>
      <c r="E2" s="68" t="n"/>
      <c r="F2" s="68" t="n"/>
      <c r="G2" s="68" t="n"/>
      <c r="H2" s="68" t="n"/>
      <c r="I2" s="68" t="n"/>
      <c r="J2" s="68" t="n"/>
      <c r="K2" s="6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76" t="n">
        <v>5</v>
      </c>
      <c r="J4" s="60" t="inlineStr">
        <is>
          <t>Yes</t>
        </is>
      </c>
      <c r="K4" s="60" t="inlineStr">
        <is>
          <t>Established global business and policy news.</t>
        </is>
      </c>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76" t="n">
        <v>4</v>
      </c>
      <c r="J5" s="60" t="inlineStr">
        <is>
          <t>Yes</t>
        </is>
      </c>
      <c r="K5" s="60" t="inlineStr">
        <is>
          <t>Broad science coverage; topic filter is applied.</t>
        </is>
      </c>
    </row>
    <row r="6" ht="36" customHeight="1">
      <c r="A6" s="60" t="inlineStr">
        <is>
          <t>Yes</t>
        </is>
      </c>
      <c r="B6" s="60" t="inlineStr">
        <is>
          <t>Global</t>
        </is>
      </c>
      <c r="C6" s="60" t="inlineStr">
        <is>
          <t>United Kingdom</t>
        </is>
      </c>
      <c r="D6" s="60" t="inlineStr">
        <is>
          <t>Technology</t>
        </is>
      </c>
      <c r="E6" s="60" t="inlineStr">
        <is>
          <t>The Guardian Technology</t>
        </is>
      </c>
      <c r="F6" s="60" t="inlineStr">
        <is>
          <t>Guardian News &amp; Media</t>
        </is>
      </c>
      <c r="G6" s="60" t="inlineStr">
        <is>
          <t>https://www.theguardian.com/technology/rss</t>
        </is>
      </c>
      <c r="H6" s="60" t="inlineStr">
        <is>
          <t>https://www.theguardian.com/technology</t>
        </is>
      </c>
      <c r="I6" s="76" t="n">
        <v>3</v>
      </c>
      <c r="J6" s="60" t="inlineStr">
        <is>
          <t>Yes</t>
        </is>
      </c>
      <c r="K6" s="60" t="inlineStr">
        <is>
          <t>Major media; strict topic filter is applied.</t>
        </is>
      </c>
    </row>
    <row r="7" ht="36" customHeight="1">
      <c r="A7" s="60" t="inlineStr">
        <is>
          <t>Yes</t>
        </is>
      </c>
      <c r="B7" s="60" t="inlineStr">
        <is>
          <t>Global</t>
        </is>
      </c>
      <c r="C7" s="60" t="inlineStr">
        <is>
          <t>United States</t>
        </is>
      </c>
      <c r="D7" s="60" t="inlineStr">
        <is>
          <t>Emerging technology</t>
        </is>
      </c>
      <c r="E7" s="60" t="inlineStr">
        <is>
          <t>MIT Technology Review</t>
        </is>
      </c>
      <c r="F7" s="60" t="inlineStr">
        <is>
          <t>MIT Technology Review</t>
        </is>
      </c>
      <c r="G7" s="60" t="inlineStr">
        <is>
          <t>https://www.technologyreview.com/feed/</t>
        </is>
      </c>
      <c r="H7" s="60" t="inlineStr">
        <is>
          <t>https://www.technologyreview.com/</t>
        </is>
      </c>
      <c r="I7" s="76" t="n">
        <v>4</v>
      </c>
      <c r="J7" s="60" t="inlineStr">
        <is>
          <t>Yes</t>
        </is>
      </c>
      <c r="K7" s="60" t="inlineStr">
        <is>
          <t>Established specialist publication.</t>
        </is>
      </c>
    </row>
    <row r="8" ht="36" customHeight="1">
      <c r="A8" s="60" t="inlineStr">
        <is>
          <t>Yes</t>
        </is>
      </c>
      <c r="B8" s="60" t="inlineStr">
        <is>
          <t>Global</t>
        </is>
      </c>
      <c r="C8" s="60" t="inlineStr">
        <is>
          <t>United States</t>
        </is>
      </c>
      <c r="D8" s="60" t="inlineStr">
        <is>
          <t>Engineering and technology</t>
        </is>
      </c>
      <c r="E8" s="60" t="inlineStr">
        <is>
          <t>IEEE Spectrum</t>
        </is>
      </c>
      <c r="F8" s="60" t="inlineStr">
        <is>
          <t>IEEE</t>
        </is>
      </c>
      <c r="G8" s="60" t="inlineStr">
        <is>
          <t>https://spectrum.ieee.org/feeds/feed.rss</t>
        </is>
      </c>
      <c r="H8" s="60" t="inlineStr">
        <is>
          <t>https://spectrum.ieee.org/</t>
        </is>
      </c>
      <c r="I8" s="76" t="n">
        <v>4</v>
      </c>
      <c r="J8" s="60" t="inlineStr">
        <is>
          <t>Yes</t>
        </is>
      </c>
      <c r="K8" s="60" t="inlineStr">
        <is>
          <t>IEEE editorial publication.</t>
        </is>
      </c>
    </row>
    <row r="9" ht="36" customHeight="1">
      <c r="A9" s="60" t="inlineStr">
        <is>
          <t>Yes</t>
        </is>
      </c>
      <c r="B9" s="60" t="inlineStr">
        <is>
          <t>Global</t>
        </is>
      </c>
      <c r="C9" s="60" t="inlineStr">
        <is>
          <t>Global</t>
        </is>
      </c>
      <c r="D9" s="60" t="inlineStr">
        <is>
          <t>Science</t>
        </is>
      </c>
      <c r="E9" s="60" t="inlineStr">
        <is>
          <t>Nature</t>
        </is>
      </c>
      <c r="F9" s="60" t="inlineStr">
        <is>
          <t>Springer Nature</t>
        </is>
      </c>
      <c r="G9" s="60" t="inlineStr">
        <is>
          <t>https://www.nature.com/nature.rss</t>
        </is>
      </c>
      <c r="H9" s="60" t="inlineStr">
        <is>
          <t>https://www.nature.com/</t>
        </is>
      </c>
      <c r="I9" s="76" t="n">
        <v>4</v>
      </c>
      <c r="J9" s="60" t="inlineStr">
        <is>
          <t>Yes</t>
        </is>
      </c>
      <c r="K9" s="60" t="inlineStr">
        <is>
          <t>Leading scientific publication; innovation-topic filter is applied.</t>
        </is>
      </c>
    </row>
    <row r="10" ht="36" customHeight="1">
      <c r="A10" s="60" t="inlineStr">
        <is>
          <t>Yes</t>
        </is>
      </c>
      <c r="B10" s="60" t="inlineStr">
        <is>
          <t>Global</t>
        </is>
      </c>
      <c r="C10" s="60" t="inlineStr">
        <is>
          <t>United States</t>
        </is>
      </c>
      <c r="D10" s="60" t="inlineStr">
        <is>
          <t>Science</t>
        </is>
      </c>
      <c r="E10" s="60" t="inlineStr">
        <is>
          <t>Science</t>
        </is>
      </c>
      <c r="F10" s="60" t="inlineStr">
        <is>
          <t>AAAS</t>
        </is>
      </c>
      <c r="G10" s="60" t="inlineStr">
        <is>
          <t>https://www.science.org/action/showFeed?type=etoc&amp;feed=rss&amp;jc=science</t>
        </is>
      </c>
      <c r="H10" s="60" t="inlineStr">
        <is>
          <t>https://www.science.org/</t>
        </is>
      </c>
      <c r="I10" s="76" t="n">
        <v>4</v>
      </c>
      <c r="J10" s="60" t="inlineStr">
        <is>
          <t>Yes</t>
        </is>
      </c>
      <c r="K10" s="60" t="inlineStr">
        <is>
          <t>Leading scientific publication; the publisher may rate-limit automated access.</t>
        </is>
      </c>
    </row>
    <row r="11" ht="36" customHeight="1">
      <c r="A11" s="60" t="inlineStr">
        <is>
          <t>Yes</t>
        </is>
      </c>
      <c r="B11" s="60" t="inlineStr">
        <is>
          <t>Asia</t>
        </is>
      </c>
      <c r="C11" s="60" t="inlineStr">
        <is>
          <t>Hong Kong</t>
        </is>
      </c>
      <c r="D11" s="60" t="inlineStr">
        <is>
          <t>Technology</t>
        </is>
      </c>
      <c r="E11" s="60" t="inlineStr">
        <is>
          <t>South China Morning Post Technology</t>
        </is>
      </c>
      <c r="F11" s="60" t="inlineStr">
        <is>
          <t>South China Morning Post</t>
        </is>
      </c>
      <c r="G11" s="60" t="inlineStr">
        <is>
          <t>https://www.scmp.com/rss/36/feed</t>
        </is>
      </c>
      <c r="H11" s="60" t="inlineStr">
        <is>
          <t>https://www.scmp.com/tech</t>
        </is>
      </c>
      <c r="I11" s="76" t="n">
        <v>4</v>
      </c>
      <c r="J11" s="60" t="inlineStr">
        <is>
          <t>Yes</t>
        </is>
      </c>
      <c r="K11" s="60" t="inlineStr">
        <is>
          <t>Major Asia-focused technology media; only /tech/ article URLs are accepted.</t>
        </is>
      </c>
    </row>
    <row r="12" ht="36" customHeight="1">
      <c r="A12" s="60" t="inlineStr">
        <is>
          <t>Yes</t>
        </is>
      </c>
      <c r="B12" s="60" t="inlineStr">
        <is>
          <t>Middle East</t>
        </is>
      </c>
      <c r="C12" s="60" t="inlineStr">
        <is>
          <t>Saudi Arabia</t>
        </is>
      </c>
      <c r="D12" s="60" t="inlineStr">
        <is>
          <t>Technology</t>
        </is>
      </c>
      <c r="E12" s="60" t="inlineStr">
        <is>
          <t>Arab News Technology</t>
        </is>
      </c>
      <c r="F12" s="60" t="inlineStr">
        <is>
          <t>Arab News</t>
        </is>
      </c>
      <c r="G12" s="60" t="inlineStr">
        <is>
          <t>https://www.arabnews.com/taxonomy/term/2936/feed</t>
        </is>
      </c>
      <c r="H12" s="60" t="inlineStr">
        <is>
          <t>https://www.arabnews.com/tags/technology</t>
        </is>
      </c>
      <c r="I12" s="76" t="n">
        <v>3</v>
      </c>
      <c r="J12" s="60" t="inlineStr">
        <is>
          <t>Yes</t>
        </is>
      </c>
      <c r="K12" s="60" t="inlineStr">
        <is>
          <t>Established regional media; topic filter is applied.</t>
        </is>
      </c>
    </row>
    <row r="13" ht="36" customHeight="1">
      <c r="A13" s="60" t="inlineStr">
        <is>
          <t>Yes</t>
        </is>
      </c>
      <c r="B13" s="60" t="inlineStr">
        <is>
          <t>Middle East</t>
        </is>
      </c>
      <c r="C13" s="60" t="inlineStr">
        <is>
          <t>United Arab Emirates</t>
        </is>
      </c>
      <c r="D13" s="60" t="inlineStr">
        <is>
          <t>Technology and innovation</t>
        </is>
      </c>
      <c r="E13" s="60" t="inlineStr">
        <is>
          <t>The National Technology</t>
        </is>
      </c>
      <c r="F13" s="60" t="inlineStr">
        <is>
          <t>The National</t>
        </is>
      </c>
      <c r="G13" s="60" t="inlineStr">
        <is>
          <t>https://www.thenationalnews.com/arc/outboundfeeds/rss/category/future/technology/?outputType=xml</t>
        </is>
      </c>
      <c r="H13" s="60" t="inlineStr">
        <is>
          <t>https://www.thenationalnews.com/future/technology/</t>
        </is>
      </c>
      <c r="I13" s="76" t="n">
        <v>4</v>
      </c>
      <c r="J13" s="60" t="inlineStr">
        <is>
          <t>Yes</t>
        </is>
      </c>
      <c r="K13" s="60" t="inlineStr">
        <is>
          <t>Established UAE-based regional newspaper; official technology feed.</t>
        </is>
      </c>
    </row>
    <row r="14" ht="36" customHeight="1">
      <c r="A14" s="60" t="inlineStr">
        <is>
          <t>Yes</t>
        </is>
      </c>
      <c r="B14" s="60" t="inlineStr">
        <is>
          <t>United States</t>
        </is>
      </c>
      <c r="C14" s="60" t="inlineStr">
        <is>
          <t>United States</t>
        </is>
      </c>
      <c r="D14" s="60" t="inlineStr">
        <is>
          <t>Technology policy</t>
        </is>
      </c>
      <c r="E14" s="60" t="inlineStr">
        <is>
          <t>Brookings TechTank</t>
        </is>
      </c>
      <c r="F14" s="60" t="inlineStr">
        <is>
          <t>Brookings Institution</t>
        </is>
      </c>
      <c r="G14" s="60" t="inlineStr">
        <is>
          <t>https://www.brookings.edu/tags/techtank/</t>
        </is>
      </c>
      <c r="H14" s="60" t="inlineStr">
        <is>
          <t>https://www.brookings.edu/tags/techtank/</t>
        </is>
      </c>
      <c r="I14" s="76" t="n">
        <v>5</v>
      </c>
      <c r="J14" s="60" t="inlineStr">
        <is>
          <t>No</t>
        </is>
      </c>
      <c r="K14" s="60" t="inlineStr">
        <is>
          <t>Technology-policy analysis from Brookings; official listing-page fallback.</t>
        </is>
      </c>
    </row>
    <row r="15" ht="36" customHeight="1">
      <c r="A15" s="60" t="inlineStr">
        <is>
          <t>Yes</t>
        </is>
      </c>
      <c r="B15" s="60" t="inlineStr">
        <is>
          <t>United States</t>
        </is>
      </c>
      <c r="C15" s="60" t="inlineStr">
        <is>
          <t>United States</t>
        </is>
      </c>
      <c r="D15" s="60" t="inlineStr">
        <is>
          <t>Technology and industrial policy</t>
        </is>
      </c>
      <c r="E15" s="60" t="inlineStr">
        <is>
          <t>CSIS Analysis</t>
        </is>
      </c>
      <c r="F15" s="60" t="inlineStr">
        <is>
          <t>Center for Strategic and International Studies</t>
        </is>
      </c>
      <c r="G15" s="60" t="inlineStr">
        <is>
          <t>https://www.csis.org/rss.xml</t>
        </is>
      </c>
      <c r="H15" s="60" t="inlineStr">
        <is>
          <t>https://www.csis.org/analysis</t>
        </is>
      </c>
      <c r="I15" s="76" t="n">
        <v>4</v>
      </c>
      <c r="J15" s="60" t="inlineStr">
        <is>
          <t>Yes</t>
        </is>
      </c>
      <c r="K15" s="60" t="inlineStr">
        <is>
          <t>Broad analysis feed; innovation-topic filter is applied.</t>
        </is>
      </c>
    </row>
    <row r="16" ht="36" customHeight="1">
      <c r="A16" s="60" t="inlineStr">
        <is>
          <t>Yes</t>
        </is>
      </c>
      <c r="B16" s="60" t="inlineStr">
        <is>
          <t>United States</t>
        </is>
      </c>
      <c r="C16" s="60" t="inlineStr">
        <is>
          <t>United States</t>
        </is>
      </c>
      <c r="D16" s="60" t="inlineStr">
        <is>
          <t>Emerging technology policy</t>
        </is>
      </c>
      <c r="E16" s="60" t="inlineStr">
        <is>
          <t>CSET</t>
        </is>
      </c>
      <c r="F16" s="60" t="inlineStr">
        <is>
          <t>Center for Security and Emerging Technology</t>
        </is>
      </c>
      <c r="G16" s="60" t="inlineStr">
        <is>
          <t>https://cset.georgetown.edu/feed/</t>
        </is>
      </c>
      <c r="H16" s="60" t="inlineStr">
        <is>
          <t>https://cset.georgetown.edu/</t>
        </is>
      </c>
      <c r="I16" s="76" t="n">
        <v>5</v>
      </c>
      <c r="J16" s="60" t="inlineStr">
        <is>
          <t>Yes</t>
        </is>
      </c>
      <c r="K16" s="60" t="inlineStr">
        <is>
          <t>University-based emerging-technology policy center.</t>
        </is>
      </c>
    </row>
    <row r="17" ht="36" customHeight="1">
      <c r="A17" s="60" t="inlineStr">
        <is>
          <t>Yes</t>
        </is>
      </c>
      <c r="B17" s="60" t="inlineStr">
        <is>
          <t>EU &amp; Europe</t>
        </is>
      </c>
      <c r="C17" s="60" t="inlineStr">
        <is>
          <t>Belgium</t>
        </is>
      </c>
      <c r="D17" s="60" t="inlineStr">
        <is>
          <t>Economic and innovation policy</t>
        </is>
      </c>
      <c r="E17" s="60" t="inlineStr">
        <is>
          <t>Bruegel</t>
        </is>
      </c>
      <c r="F17" s="60" t="inlineStr">
        <is>
          <t>Bruegel</t>
        </is>
      </c>
      <c r="G17" s="60" t="inlineStr">
        <is>
          <t>https://www.bruegel.org/rss.xml</t>
        </is>
      </c>
      <c r="H17" s="60" t="inlineStr">
        <is>
          <t>https://www.bruegel.org/</t>
        </is>
      </c>
      <c r="I17" s="76" t="n">
        <v>4</v>
      </c>
      <c r="J17" s="60" t="inlineStr">
        <is>
          <t>Yes</t>
        </is>
      </c>
      <c r="K17" s="60" t="inlineStr">
        <is>
          <t>European economic-policy institute.</t>
        </is>
      </c>
    </row>
    <row r="18" ht="36" customHeight="1">
      <c r="A18" s="60" t="inlineStr">
        <is>
          <t>Yes</t>
        </is>
      </c>
      <c r="B18" s="60" t="inlineStr">
        <is>
          <t>Asia</t>
        </is>
      </c>
      <c r="C18" s="60" t="inlineStr">
        <is>
          <t>China / Germany</t>
        </is>
      </c>
      <c r="D18" s="60" t="inlineStr">
        <is>
          <t>China technology and industrial policy</t>
        </is>
      </c>
      <c r="E18" s="60" t="inlineStr">
        <is>
          <t>MERICS</t>
        </is>
      </c>
      <c r="F18" s="60" t="inlineStr">
        <is>
          <t>Mercator Institute for China Studies</t>
        </is>
      </c>
      <c r="G18" s="60" t="inlineStr">
        <is>
          <t>https://merics.org/en/rss.xml</t>
        </is>
      </c>
      <c r="H18" s="60" t="inlineStr">
        <is>
          <t>https://merics.org/en</t>
        </is>
      </c>
      <c r="I18" s="76" t="n">
        <v>4</v>
      </c>
      <c r="J18" s="60" t="inlineStr">
        <is>
          <t>Yes</t>
        </is>
      </c>
      <c r="K18" s="60" t="inlineStr">
        <is>
          <t>China-focused policy institute.</t>
        </is>
      </c>
    </row>
    <row r="19" ht="36" customHeight="1">
      <c r="A19" s="60" t="inlineStr">
        <is>
          <t>Yes</t>
        </is>
      </c>
      <c r="B19" s="60" t="inlineStr">
        <is>
          <t>United States</t>
        </is>
      </c>
      <c r="C19" s="60" t="inlineStr">
        <is>
          <t>United States</t>
        </is>
      </c>
      <c r="D19" s="60" t="inlineStr">
        <is>
          <t>Research policy and science</t>
        </is>
      </c>
      <c r="E19" s="60" t="inlineStr">
        <is>
          <t>National Science Foundation News</t>
        </is>
      </c>
      <c r="F19" s="60" t="inlineStr">
        <is>
          <t>U.S. National Science Foundation</t>
        </is>
      </c>
      <c r="G19" s="60" t="inlineStr">
        <is>
          <t>https://www.nsf.gov/rss/rss_www_news.xml</t>
        </is>
      </c>
      <c r="H19" s="60" t="inlineStr">
        <is>
          <t>https://www.nsf.gov/news</t>
        </is>
      </c>
      <c r="I19" s="76" t="n">
        <v>5</v>
      </c>
      <c r="J19" s="60" t="inlineStr">
        <is>
          <t>Yes</t>
        </is>
      </c>
      <c r="K19" s="60" t="inlineStr">
        <is>
          <t>Official U.S. government source.</t>
        </is>
      </c>
    </row>
    <row r="20" ht="36" customHeight="1">
      <c r="A20" s="60" t="inlineStr">
        <is>
          <t>Yes</t>
        </is>
      </c>
      <c r="B20" s="60" t="inlineStr">
        <is>
          <t>United States</t>
        </is>
      </c>
      <c r="C20" s="60" t="inlineStr">
        <is>
          <t>United States</t>
        </is>
      </c>
      <c r="D20" s="60" t="inlineStr">
        <is>
          <t>Standards, science and industrial policy</t>
        </is>
      </c>
      <c r="E20" s="60" t="inlineStr">
        <is>
          <t>NIST News</t>
        </is>
      </c>
      <c r="F20" s="60" t="inlineStr">
        <is>
          <t>National Institute of Standards and Technology</t>
        </is>
      </c>
      <c r="G20" s="60" t="inlineStr">
        <is>
          <t>https://www.nist.gov/news-events/news/rss.xml</t>
        </is>
      </c>
      <c r="H20" s="60" t="inlineStr">
        <is>
          <t>https://www.nist.gov/news-events/news</t>
        </is>
      </c>
      <c r="I20" s="76" t="n">
        <v>5</v>
      </c>
      <c r="J20" s="60" t="inlineStr">
        <is>
          <t>Yes</t>
        </is>
      </c>
      <c r="K20" s="60" t="inlineStr">
        <is>
          <t>Official U.S. government source.</t>
        </is>
      </c>
    </row>
    <row r="21" ht="36" customHeight="1">
      <c r="A21" s="60" t="inlineStr">
        <is>
          <t>Yes</t>
        </is>
      </c>
      <c r="B21" s="60" t="inlineStr">
        <is>
          <t>United States</t>
        </is>
      </c>
      <c r="C21" s="60" t="inlineStr">
        <is>
          <t>United States</t>
        </is>
      </c>
      <c r="D21" s="60" t="inlineStr">
        <is>
          <t>Biotechnology and healthcare</t>
        </is>
      </c>
      <c r="E21" s="60" t="inlineStr">
        <is>
          <t>NIH News Releases</t>
        </is>
      </c>
      <c r="F21" s="60" t="inlineStr">
        <is>
          <t>U.S. National Institutes of Health</t>
        </is>
      </c>
      <c r="G21" s="60" t="inlineStr">
        <is>
          <t>https://www.nih.gov/news-events/news-releases/rss.xml</t>
        </is>
      </c>
      <c r="H21" s="60" t="inlineStr">
        <is>
          <t>https://www.nih.gov/news-events/news-releases</t>
        </is>
      </c>
      <c r="I21" s="76" t="n">
        <v>5</v>
      </c>
      <c r="J21" s="60" t="inlineStr">
        <is>
          <t>Yes</t>
        </is>
      </c>
      <c r="K21" s="60" t="inlineStr">
        <is>
          <t>Official U.S. biomedical-research source.</t>
        </is>
      </c>
    </row>
    <row r="22" ht="36" customHeight="1">
      <c r="A22" s="60" t="inlineStr">
        <is>
          <t>Yes</t>
        </is>
      </c>
      <c r="B22" s="60" t="inlineStr">
        <is>
          <t>United States</t>
        </is>
      </c>
      <c r="C22" s="60" t="inlineStr">
        <is>
          <t>United States</t>
        </is>
      </c>
      <c r="D22" s="60" t="inlineStr">
        <is>
          <t>Energy, quantum and research policy</t>
        </is>
      </c>
      <c r="E22" s="60" t="inlineStr">
        <is>
          <t>DOE Office of Science News</t>
        </is>
      </c>
      <c r="F22" s="60" t="inlineStr">
        <is>
          <t>U.S. Department of Energy</t>
        </is>
      </c>
      <c r="G22" s="60" t="inlineStr">
        <is>
          <t>https://www.energy.gov/rss/science/3662436</t>
        </is>
      </c>
      <c r="H22" s="60" t="inlineStr">
        <is>
          <t>https://www.energy.gov/science/listings/office-science-news</t>
        </is>
      </c>
      <c r="I22" s="76" t="n">
        <v>5</v>
      </c>
      <c r="J22" s="60" t="inlineStr">
        <is>
          <t>Yes</t>
        </is>
      </c>
      <c r="K22" s="60" t="inlineStr">
        <is>
          <t>Official U.S. government source; includes fusion and quantum policy.</t>
        </is>
      </c>
    </row>
    <row r="23" ht="36" customHeight="1">
      <c r="A23" s="60" t="inlineStr">
        <is>
          <t>Yes</t>
        </is>
      </c>
      <c r="B23" s="60" t="inlineStr">
        <is>
          <t>EU &amp; Europe</t>
        </is>
      </c>
      <c r="C23" s="60" t="inlineStr">
        <is>
          <t>European Union</t>
        </is>
      </c>
      <c r="D23" s="60" t="inlineStr">
        <is>
          <t>EU policy</t>
        </is>
      </c>
      <c r="E23" s="60" t="inlineStr">
        <is>
          <t>European Commission Press Corner</t>
        </is>
      </c>
      <c r="F23" s="60" t="inlineStr">
        <is>
          <t>European Commission</t>
        </is>
      </c>
      <c r="G23" s="60" t="inlineStr">
        <is>
          <t>https://ec.europa.eu/commission/presscorner/api/rss?language=en&amp;documenttype=press_release</t>
        </is>
      </c>
      <c r="H23" s="60" t="inlineStr">
        <is>
          <t>https://ec.europa.eu/commission/presscorner/home/en</t>
        </is>
      </c>
      <c r="I23" s="76" t="n">
        <v>5</v>
      </c>
      <c r="J23" s="60" t="inlineStr">
        <is>
          <t>Yes</t>
        </is>
      </c>
      <c r="K23" s="60" t="inlineStr">
        <is>
          <t>Official European Commission press releases.</t>
        </is>
      </c>
    </row>
    <row r="24" ht="36" customHeight="1">
      <c r="A24" s="60" t="inlineStr">
        <is>
          <t>Yes</t>
        </is>
      </c>
      <c r="B24" s="60" t="inlineStr">
        <is>
          <t>EU &amp; Europe</t>
        </is>
      </c>
      <c r="C24" s="60" t="inlineStr">
        <is>
          <t>United Kingdom</t>
        </is>
      </c>
      <c r="D24" s="60" t="inlineStr">
        <is>
          <t>Science and innovation policy</t>
        </is>
      </c>
      <c r="E24" s="60" t="inlineStr">
        <is>
          <t>UK DSIT</t>
        </is>
      </c>
      <c r="F24" s="60" t="inlineStr">
        <is>
          <t>Department for Science, Innovation and Technology</t>
        </is>
      </c>
      <c r="G24" s="60" t="inlineStr">
        <is>
          <t>https://www.gov.uk/government/organisations/department-for-science-innovation-and-technology.atom</t>
        </is>
      </c>
      <c r="H24" s="60" t="inlineStr">
        <is>
          <t>https://www.gov.uk/government/organisations/department-for-science-innovation-and-technology</t>
        </is>
      </c>
      <c r="I24" s="76" t="n">
        <v>5</v>
      </c>
      <c r="J24" s="60" t="inlineStr">
        <is>
          <t>Yes</t>
        </is>
      </c>
      <c r="K24" s="60" t="inlineStr">
        <is>
          <t>Official UK government Atom feed.</t>
        </is>
      </c>
    </row>
    <row r="25" ht="36" customHeight="1">
      <c r="A25" s="60" t="inlineStr">
        <is>
          <t>Yes</t>
        </is>
      </c>
      <c r="B25" s="60" t="inlineStr">
        <is>
          <t>Asia</t>
        </is>
      </c>
      <c r="C25" s="60" t="inlineStr">
        <is>
          <t>Japan</t>
        </is>
      </c>
      <c r="D25" s="60" t="inlineStr">
        <is>
          <t>Industrial and innovation policy</t>
        </is>
      </c>
      <c r="E25" s="60" t="inlineStr">
        <is>
          <t>METI Press Releases</t>
        </is>
      </c>
      <c r="F25" s="60" t="inlineStr">
        <is>
          <t>Ministry of Economy, Trade and Industry</t>
        </is>
      </c>
      <c r="G25" s="60" t="inlineStr">
        <is>
          <t>https://www.meti.go.jp/english/press/index.rdf</t>
        </is>
      </c>
      <c r="H25" s="60" t="inlineStr">
        <is>
          <t>https://www.meti.go.jp/english/press/index.html</t>
        </is>
      </c>
      <c r="I25" s="76" t="n">
        <v>5</v>
      </c>
      <c r="J25" s="60" t="inlineStr">
        <is>
          <t>Yes</t>
        </is>
      </c>
      <c r="K25" s="60" t="inlineStr">
        <is>
          <t>Official Japanese government English-language feed.</t>
        </is>
      </c>
    </row>
    <row r="26" ht="36" customHeight="1">
      <c r="A26" s="60" t="inlineStr">
        <is>
          <t>Yes</t>
        </is>
      </c>
      <c r="B26" s="60" t="inlineStr">
        <is>
          <t>Global</t>
        </is>
      </c>
      <c r="C26" s="60" t="inlineStr">
        <is>
          <t>Global</t>
        </is>
      </c>
      <c r="D26" s="60" t="inlineStr">
        <is>
          <t>Healthcare policy</t>
        </is>
      </c>
      <c r="E26" s="60" t="inlineStr">
        <is>
          <t>WHO News</t>
        </is>
      </c>
      <c r="F26" s="60" t="inlineStr">
        <is>
          <t>World Health Organization</t>
        </is>
      </c>
      <c r="G26" s="60" t="inlineStr">
        <is>
          <t>https://www.who.int/rss-feeds/news-english.xml</t>
        </is>
      </c>
      <c r="H26" s="60" t="inlineStr">
        <is>
          <t>https://www.who.int/news</t>
        </is>
      </c>
      <c r="I26" s="76" t="n">
        <v>4</v>
      </c>
      <c r="J26" s="60" t="inlineStr">
        <is>
          <t>Yes</t>
        </is>
      </c>
      <c r="K26" s="60" t="inlineStr">
        <is>
          <t>Official international public-health source.</t>
        </is>
      </c>
    </row>
    <row r="27" ht="36" customHeight="1">
      <c r="A27" s="60" t="inlineStr">
        <is>
          <t>Yes</t>
        </is>
      </c>
      <c r="B27" s="60" t="inlineStr">
        <is>
          <t>Global</t>
        </is>
      </c>
      <c r="C27" s="60" t="inlineStr">
        <is>
          <t>Global</t>
        </is>
      </c>
      <c r="D27" s="60" t="inlineStr">
        <is>
          <t>Energy technology and policy</t>
        </is>
      </c>
      <c r="E27" s="60" t="inlineStr">
        <is>
          <t>IEA News</t>
        </is>
      </c>
      <c r="F27" s="60" t="inlineStr">
        <is>
          <t>International Energy Agency</t>
        </is>
      </c>
      <c r="G27" s="60" t="inlineStr">
        <is>
          <t>https://www.iea.org/rss/news.xml</t>
        </is>
      </c>
      <c r="H27" s="60" t="inlineStr">
        <is>
          <t>https://www.iea.org/news</t>
        </is>
      </c>
      <c r="I27" s="76" t="n">
        <v>4</v>
      </c>
      <c r="J27" s="60" t="inlineStr">
        <is>
          <t>Yes</t>
        </is>
      </c>
      <c r="K27" s="60" t="inlineStr">
        <is>
          <t>Official international energy-policy source.</t>
        </is>
      </c>
    </row>
    <row r="28" ht="36" customHeight="1">
      <c r="A28" s="60" t="inlineStr">
        <is>
          <t>Yes</t>
        </is>
      </c>
      <c r="B28" s="60" t="inlineStr">
        <is>
          <t>Global</t>
        </is>
      </c>
      <c r="C28" s="60" t="inlineStr">
        <is>
          <t>Global</t>
        </is>
      </c>
      <c r="D28" s="60" t="inlineStr">
        <is>
          <t>Economic, science and innovation policy</t>
        </is>
      </c>
      <c r="E28" s="60" t="inlineStr">
        <is>
          <t>OECD Newsroom</t>
        </is>
      </c>
      <c r="F28" s="60" t="inlineStr">
        <is>
          <t>OECD</t>
        </is>
      </c>
      <c r="G28" s="60" t="inlineStr">
        <is>
          <t>https://www.oecd.org/newsroom/rss.xml</t>
        </is>
      </c>
      <c r="H28" s="60" t="inlineStr">
        <is>
          <t>https://www.oecd.org/newsroom/</t>
        </is>
      </c>
      <c r="I28" s="76" t="n">
        <v>4</v>
      </c>
      <c r="J28" s="60" t="inlineStr">
        <is>
          <t>Yes</t>
        </is>
      </c>
      <c r="K28" s="60" t="inlineStr">
        <is>
          <t>Official OECD source.</t>
        </is>
      </c>
    </row>
    <row r="29" ht="36" customHeight="1">
      <c r="A29" s="60" t="inlineStr">
        <is>
          <t>Yes</t>
        </is>
      </c>
      <c r="B29" s="60" t="inlineStr">
        <is>
          <t>Global</t>
        </is>
      </c>
      <c r="C29" s="60" t="inlineStr">
        <is>
          <t>United States</t>
        </is>
      </c>
      <c r="D29" s="60" t="inlineStr">
        <is>
          <t>Artificial intelligence</t>
        </is>
      </c>
      <c r="E29" s="60" t="inlineStr">
        <is>
          <t>OpenAI News</t>
        </is>
      </c>
      <c r="F29" s="60" t="inlineStr">
        <is>
          <t>OpenAI</t>
        </is>
      </c>
      <c r="G29" s="60" t="inlineStr">
        <is>
          <t>https://openai.com/news/rss.xml</t>
        </is>
      </c>
      <c r="H29" s="60" t="inlineStr">
        <is>
          <t>https://openai.com/news/</t>
        </is>
      </c>
      <c r="I29" s="76" t="n">
        <v>5</v>
      </c>
      <c r="J29" s="60" t="inlineStr">
        <is>
          <t>Yes</t>
        </is>
      </c>
      <c r="K29" s="60" t="inlineStr">
        <is>
          <t>Official company newsroom.</t>
        </is>
      </c>
    </row>
    <row r="30" ht="36" customHeight="1">
      <c r="A30" s="60" t="inlineStr">
        <is>
          <t>Yes</t>
        </is>
      </c>
      <c r="B30" s="60" t="inlineStr">
        <is>
          <t>Global</t>
        </is>
      </c>
      <c r="C30" s="60" t="inlineStr">
        <is>
          <t>United States</t>
        </is>
      </c>
      <c r="D30" s="60" t="inlineStr">
        <is>
          <t>Artificial intelligence</t>
        </is>
      </c>
      <c r="E30" s="60" t="inlineStr">
        <is>
          <t>Google AI</t>
        </is>
      </c>
      <c r="F30" s="60" t="inlineStr">
        <is>
          <t>Google</t>
        </is>
      </c>
      <c r="G30" s="60" t="inlineStr">
        <is>
          <t>https://blog.google/technology/ai/rss/</t>
        </is>
      </c>
      <c r="H30" s="60" t="inlineStr">
        <is>
          <t>https://blog.google/technology/ai/</t>
        </is>
      </c>
      <c r="I30" s="76" t="n">
        <v>4</v>
      </c>
      <c r="J30" s="60" t="inlineStr">
        <is>
          <t>Yes</t>
        </is>
      </c>
      <c r="K30" s="60" t="inlineStr">
        <is>
          <t>Official company publication.</t>
        </is>
      </c>
    </row>
    <row r="31" ht="36" customHeight="1">
      <c r="A31" s="60" t="inlineStr">
        <is>
          <t>Yes</t>
        </is>
      </c>
      <c r="B31" s="60" t="inlineStr">
        <is>
          <t>Global</t>
        </is>
      </c>
      <c r="C31" s="60" t="inlineStr">
        <is>
          <t>United States</t>
        </is>
      </c>
      <c r="D31" s="60" t="inlineStr">
        <is>
          <t>AI and semiconductors</t>
        </is>
      </c>
      <c r="E31" s="60" t="inlineStr">
        <is>
          <t>NVIDIA Blog</t>
        </is>
      </c>
      <c r="F31" s="60" t="inlineStr">
        <is>
          <t>NVIDIA</t>
        </is>
      </c>
      <c r="G31" s="60" t="inlineStr">
        <is>
          <t>https://blogs.nvidia.com/feed/</t>
        </is>
      </c>
      <c r="H31" s="60" t="inlineStr">
        <is>
          <t>https://blogs.nvidia.com/</t>
        </is>
      </c>
      <c r="I31" s="76" t="n">
        <v>4</v>
      </c>
      <c r="J31" s="60" t="inlineStr">
        <is>
          <t>Yes</t>
        </is>
      </c>
      <c r="K31" s="60" t="inlineStr">
        <is>
          <t>Official company publication.</t>
        </is>
      </c>
    </row>
    <row r="32" ht="36" customHeight="1">
      <c r="A32" s="60" t="inlineStr">
        <is>
          <t>Yes</t>
        </is>
      </c>
      <c r="B32" s="60" t="inlineStr">
        <is>
          <t>Global</t>
        </is>
      </c>
      <c r="C32" s="60" t="inlineStr">
        <is>
          <t>United States</t>
        </is>
      </c>
      <c r="D32" s="60" t="inlineStr">
        <is>
          <t>Semiconductors</t>
        </is>
      </c>
      <c r="E32" s="60" t="inlineStr">
        <is>
          <t>Intel Newsroom</t>
        </is>
      </c>
      <c r="F32" s="60" t="inlineStr">
        <is>
          <t>Intel</t>
        </is>
      </c>
      <c r="G32" s="60" t="inlineStr">
        <is>
          <t>https://newsroom.intel.com/feed</t>
        </is>
      </c>
      <c r="H32" s="60" t="inlineStr">
        <is>
          <t>https://newsroom.intel.com/</t>
        </is>
      </c>
      <c r="I32" s="76" t="n">
        <v>4</v>
      </c>
      <c r="J32" s="60" t="inlineStr">
        <is>
          <t>Yes</t>
        </is>
      </c>
      <c r="K32" s="60" t="inlineStr">
        <is>
          <t>Official company newsroom.</t>
        </is>
      </c>
    </row>
    <row r="33" ht="36" customHeight="1">
      <c r="A33" s="60" t="inlineStr">
        <is>
          <t>Yes</t>
        </is>
      </c>
      <c r="B33" s="60" t="inlineStr">
        <is>
          <t>Global</t>
        </is>
      </c>
      <c r="C33" s="60" t="inlineStr">
        <is>
          <t>United States</t>
        </is>
      </c>
      <c r="D33" s="60" t="inlineStr">
        <is>
          <t>AI and quantum</t>
        </is>
      </c>
      <c r="E33" s="60" t="inlineStr">
        <is>
          <t>IBM Research</t>
        </is>
      </c>
      <c r="F33" s="60" t="inlineStr">
        <is>
          <t>IBM</t>
        </is>
      </c>
      <c r="G33" s="60" t="inlineStr">
        <is>
          <t>https://research.ibm.com/blog/rss.xml</t>
        </is>
      </c>
      <c r="H33" s="60" t="inlineStr">
        <is>
          <t>https://research.ibm.com/blog</t>
        </is>
      </c>
      <c r="I33" s="76" t="n">
        <v>4</v>
      </c>
      <c r="J33" s="60" t="inlineStr">
        <is>
          <t>Yes</t>
        </is>
      </c>
      <c r="K33" s="60" t="inlineStr">
        <is>
          <t>Official corporate research publication.</t>
        </is>
      </c>
    </row>
    <row r="34" ht="36" customHeight="1">
      <c r="A34" s="60" t="inlineStr">
        <is>
          <t>Yes</t>
        </is>
      </c>
      <c r="B34" s="60" t="inlineStr">
        <is>
          <t>Global</t>
        </is>
      </c>
      <c r="C34" s="60" t="inlineStr">
        <is>
          <t>United States</t>
        </is>
      </c>
      <c r="D34" s="60" t="inlineStr">
        <is>
          <t>AI, quantum and computing</t>
        </is>
      </c>
      <c r="E34" s="60" t="inlineStr">
        <is>
          <t>Microsoft Research</t>
        </is>
      </c>
      <c r="F34" s="60" t="inlineStr">
        <is>
          <t>Microsoft</t>
        </is>
      </c>
      <c r="G34" s="60" t="inlineStr">
        <is>
          <t>https://www.microsoft.com/en-us/research/feed/</t>
        </is>
      </c>
      <c r="H34" s="60" t="inlineStr">
        <is>
          <t>https://www.microsoft.com/en-us/research/blog/</t>
        </is>
      </c>
      <c r="I34" s="76" t="n">
        <v>4</v>
      </c>
      <c r="J34" s="60" t="inlineStr">
        <is>
          <t>Yes</t>
        </is>
      </c>
      <c r="K34" s="60" t="inlineStr">
        <is>
          <t>Official corporate research publication.</t>
        </is>
      </c>
    </row>
    <row r="35" ht="36" customHeight="1">
      <c r="A35" s="60" t="inlineStr">
        <is>
          <t>Yes</t>
        </is>
      </c>
      <c r="B35" s="60" t="inlineStr">
        <is>
          <t>Asia</t>
        </is>
      </c>
      <c r="C35" s="60" t="inlineStr">
        <is>
          <t>South Korea</t>
        </is>
      </c>
      <c r="D35" s="60" t="inlineStr">
        <is>
          <t>Semiconductors, AI and telecom</t>
        </is>
      </c>
      <c r="E35" s="60" t="inlineStr">
        <is>
          <t>Samsung Global Newsroom</t>
        </is>
      </c>
      <c r="F35" s="60" t="inlineStr">
        <is>
          <t>Samsung Electronics</t>
        </is>
      </c>
      <c r="G35" s="60" t="inlineStr">
        <is>
          <t>https://news.samsung.com/global/feed</t>
        </is>
      </c>
      <c r="H35" s="60" t="inlineStr">
        <is>
          <t>https://news.samsung.com/global/</t>
        </is>
      </c>
      <c r="I35" s="76" t="n">
        <v>4</v>
      </c>
      <c r="J35" s="60" t="inlineStr">
        <is>
          <t>Yes</t>
        </is>
      </c>
      <c r="K35" s="60" t="inlineStr">
        <is>
          <t>Official company newsroom.</t>
        </is>
      </c>
    </row>
    <row r="36" ht="36" customHeight="1">
      <c r="A36" s="60" t="inlineStr">
        <is>
          <t>Yes</t>
        </is>
      </c>
      <c r="B36" s="60" t="inlineStr">
        <is>
          <t>EU &amp; Europe</t>
        </is>
      </c>
      <c r="C36" s="60" t="inlineStr">
        <is>
          <t>International / France</t>
        </is>
      </c>
      <c r="D36" s="60" t="inlineStr">
        <is>
          <t>Fusion energy</t>
        </is>
      </c>
      <c r="E36" s="60" t="inlineStr">
        <is>
          <t>ITER News</t>
        </is>
      </c>
      <c r="F36" s="60" t="inlineStr">
        <is>
          <t>ITER Organization</t>
        </is>
      </c>
      <c r="G36" s="60" t="inlineStr">
        <is>
          <t>https://www.iter.org/news</t>
        </is>
      </c>
      <c r="H36" s="60" t="inlineStr">
        <is>
          <t>https://www.iter.org/news</t>
        </is>
      </c>
      <c r="I36" s="76" t="n">
        <v>5</v>
      </c>
      <c r="J36" s="60" t="inlineStr">
        <is>
          <t>No</t>
        </is>
      </c>
      <c r="K36" s="60" t="inlineStr">
        <is>
          <t>Official international fusion project; official listing-page fallback.</t>
        </is>
      </c>
    </row>
    <row r="37" ht="36" customHeight="1">
      <c r="A37" s="60" t="inlineStr">
        <is>
          <t>Yes</t>
        </is>
      </c>
      <c r="B37" s="60" t="inlineStr">
        <is>
          <t>Global</t>
        </is>
      </c>
      <c r="C37" s="60" t="inlineStr">
        <is>
          <t>Global</t>
        </is>
      </c>
      <c r="D37" s="60" t="inlineStr">
        <is>
          <t>Fusion energy</t>
        </is>
      </c>
      <c r="E37" s="60" t="inlineStr">
        <is>
          <t>Fusion Industry Association</t>
        </is>
      </c>
      <c r="F37" s="60" t="inlineStr">
        <is>
          <t>Fusion Industry Association</t>
        </is>
      </c>
      <c r="G37" s="60" t="inlineStr">
        <is>
          <t>https://www.fusionindustryassociation.org/feed/</t>
        </is>
      </c>
      <c r="H37" s="60" t="inlineStr">
        <is>
          <t>https://www.fusionindustryassociation.org/</t>
        </is>
      </c>
      <c r="I37" s="76" t="n">
        <v>3</v>
      </c>
      <c r="J37" s="60" t="inlineStr">
        <is>
          <t>Yes</t>
        </is>
      </c>
      <c r="K37" s="60" t="inlineStr">
        <is>
          <t>Established industry association; company claims are clearly labeled by source.</t>
        </is>
      </c>
    </row>
  </sheetData>
  <autoFilter ref="A3:K37"/>
  <mergeCells count="2">
    <mergeCell ref="A2:K2"/>
    <mergeCell ref="A1:K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s>
  <pageMargins left="0.7" right="0.7" top="0.75" bottom="0.75" header="0.3" footer="0.3"/>
  <tableParts count="1">
    <tablePart xmlns:r="http://schemas.openxmlformats.org/officeDocument/2006/relationships" r:id="rId69"/>
  </tableParts>
</worksheet>
</file>

<file path=xl/worksheets/sheet4.xml><?xml version="1.0" encoding="utf-8"?>
<worksheet xmlns="http://schemas.openxmlformats.org/spreadsheetml/2006/main">
  <sheetPr>
    <outlinePr summaryBelow="1" summaryRight="1"/>
    <pageSetUpPr/>
  </sheetPr>
  <dimension ref="A1:H9"/>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67" t="inlineStr">
        <is>
          <t>Daily collection results; one failed feed never stops the remaining sources</t>
        </is>
      </c>
      <c r="B2" s="68" t="n"/>
      <c r="C2" s="68" t="n"/>
      <c r="D2" s="68" t="n"/>
      <c r="E2" s="68" t="n"/>
      <c r="F2" s="68" t="n"/>
      <c r="G2" s="68" t="n"/>
      <c r="H2" s="69"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75" t="inlineStr">
        <is>
          <t>2026-07-26T20:13:43+09:00</t>
        </is>
      </c>
      <c r="B4" s="77" t="n">
        <v>34</v>
      </c>
      <c r="C4" s="77" t="n">
        <v>24</v>
      </c>
      <c r="D4" s="77" t="n">
        <v>3</v>
      </c>
      <c r="E4" s="77" t="n">
        <v>51</v>
      </c>
      <c r="F4" s="77" t="n">
        <v>10</v>
      </c>
      <c r="G4" s="77" t="n">
        <v>162.46</v>
      </c>
      <c r="H4" s="60" t="inlineStr">
        <is>
          <t>Daily update</t>
        </is>
      </c>
    </row>
    <row r="5">
      <c r="A5" s="75" t="inlineStr">
        <is>
          <t>2026-07-26T20:00:03+09:00</t>
        </is>
      </c>
      <c r="B5" s="77" t="n">
        <v>34</v>
      </c>
      <c r="C5" s="77" t="n">
        <v>24</v>
      </c>
      <c r="D5" s="77" t="n">
        <v>0</v>
      </c>
      <c r="E5" s="77" t="n">
        <v>58</v>
      </c>
      <c r="F5" s="77" t="n">
        <v>10</v>
      </c>
      <c r="G5" s="77" t="n">
        <v>154.27</v>
      </c>
      <c r="H5" s="60" t="inlineStr">
        <is>
          <t>Daily update</t>
        </is>
      </c>
    </row>
    <row r="6">
      <c r="A6" s="75" t="inlineStr">
        <is>
          <t>2026-07-26T19:51:39+09:00</t>
        </is>
      </c>
      <c r="B6" s="77" t="n">
        <v>34</v>
      </c>
      <c r="C6" s="77" t="n">
        <v>24</v>
      </c>
      <c r="D6" s="77" t="n">
        <v>9</v>
      </c>
      <c r="E6" s="77" t="n">
        <v>49</v>
      </c>
      <c r="F6" s="77" t="n">
        <v>10</v>
      </c>
      <c r="G6" s="77" t="n">
        <v>11.55</v>
      </c>
      <c r="H6" s="60" t="inlineStr">
        <is>
          <t>Daily update</t>
        </is>
      </c>
    </row>
    <row r="7">
      <c r="A7" s="75" t="inlineStr">
        <is>
          <t>2026-07-26T19:10:55+09:00</t>
        </is>
      </c>
      <c r="B7" s="77" t="n">
        <v>34</v>
      </c>
      <c r="C7" s="77" t="n">
        <v>25</v>
      </c>
      <c r="D7" s="77" t="n">
        <v>3</v>
      </c>
      <c r="E7" s="77" t="n">
        <v>45</v>
      </c>
      <c r="F7" s="77" t="n">
        <v>9</v>
      </c>
      <c r="G7" s="77" t="n">
        <v>194.65</v>
      </c>
      <c r="H7" s="60" t="inlineStr">
        <is>
          <t>Daily update</t>
        </is>
      </c>
    </row>
    <row r="8">
      <c r="A8" s="75" t="inlineStr">
        <is>
          <t>2026-07-26T19:05:06+09:00</t>
        </is>
      </c>
      <c r="B8" s="77" t="n">
        <v>33</v>
      </c>
      <c r="C8" s="77" t="n">
        <v>24</v>
      </c>
      <c r="D8" s="77" t="n">
        <v>5</v>
      </c>
      <c r="E8" s="77" t="n">
        <v>39</v>
      </c>
      <c r="F8" s="77" t="n">
        <v>9</v>
      </c>
      <c r="G8" s="77" t="n">
        <v>165.89</v>
      </c>
      <c r="H8" s="60" t="inlineStr">
        <is>
          <t>Daily update</t>
        </is>
      </c>
    </row>
    <row r="9">
      <c r="A9" s="75" t="inlineStr">
        <is>
          <t>2026-07-26T18:56:03+09:00</t>
        </is>
      </c>
      <c r="B9" s="77" t="n">
        <v>33</v>
      </c>
      <c r="C9" s="77" t="n">
        <v>20</v>
      </c>
      <c r="D9" s="77" t="n">
        <v>94</v>
      </c>
      <c r="E9" s="77" t="n">
        <v>0</v>
      </c>
      <c r="F9" s="77" t="n">
        <v>13</v>
      </c>
      <c r="G9" s="77" t="n">
        <v>129.43</v>
      </c>
      <c r="H9" s="60" t="inlineStr">
        <is>
          <t>Initial lookback</t>
        </is>
      </c>
    </row>
  </sheetData>
  <autoFilter ref="A3:H9"/>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2026-07-26T11:16:25Z</dcterms:created>
  <dcterms:modified xsi:type="dcterms:W3CDTF">2026-07-26T11:16:25Z</dcterms:modified>
</cp:coreProperties>
</file>