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47b5c4188244ab5" /></Relationships>
</file>

<file path=xl/workbook.xml><?xml version="1.0" encoding="utf-8"?>
<x:workbook xmlns:x="http://schemas.openxmlformats.org/spreadsheetml/2006/main">
  <x:sheets>
    <x:sheet xmlns:r="http://schemas.openxmlformats.org/officeDocument/2006/relationships" name="Dashboard" sheetId="1" r:id="R230592ed57534b8b"/>
    <x:sheet xmlns:r="http://schemas.openxmlformats.org/officeDocument/2006/relationships" name="News Ledger" sheetId="2" r:id="R7637fb471bf1490f"/>
    <x:sheet xmlns:r="http://schemas.openxmlformats.org/officeDocument/2006/relationships" name="Source Registry" sheetId="3" r:id="R3590b56330184b56"/>
    <x:sheet xmlns:r="http://schemas.openxmlformats.org/officeDocument/2006/relationships" name="Run Log" sheetId="4" r:id="R6e919596e82f4c8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164" formatCode="yyyy-mm-dd hh:mm"/>
  </x:numFmts>
  <x:fonts count="13">
    <x:font>
      <x:sz val="11"/>
      <x:name val="Carlito"/>
    </x:font>
    <x:font>
      <x:b/>
      <x:sz val="20"/>
      <x:color rgb="FFFFFFFF"/>
      <x:name val="DejaVu Sans"/>
    </x:font>
    <x:font>
      <x:sz val="10"/>
      <x:color rgb="FF5B6B78"/>
      <x:name val="DejaVu Sans"/>
    </x:font>
    <x:font>
      <x:b/>
      <x:sz val="11"/>
      <x:color rgb="FFFFFFFF"/>
      <x:name val="DejaVu Sans"/>
    </x:font>
    <x:font>
      <x:sz val="10"/>
      <x:color rgb="FF182632"/>
      <x:name val="DejaVu Sans"/>
    </x:font>
    <x:font>
      <x:b/>
      <x:sz val="10"/>
      <x:color rgb="FF182632"/>
      <x:name val="DejaVu Sans"/>
    </x:font>
    <x:font>
      <x:b/>
      <x:sz val="16"/>
      <x:color rgb="FF0F766E"/>
      <x:name val="DejaVu Sans"/>
    </x:font>
    <x:font>
      <x:b/>
      <x:sz val="11"/>
      <x:color rgb="FF0B1F33"/>
      <x:name val="DejaVu Sans"/>
    </x:font>
    <x:font>
      <x:sz val="11"/>
      <x:name val="DejaVu Sans"/>
    </x:font>
    <x:font>
      <x:b/>
      <x:sz val="10"/>
      <x:color rgb="FFFFFFFF"/>
      <x:name val="DejaVu Sans"/>
    </x:font>
    <x:font>
      <x:b/>
      <x:sz val="11"/>
      <x:color rgb="FFFFFFFF"/>
      <x:name val="Carlito"/>
    </x:font>
    <x:font>
      <x:sz val="10"/>
      <x:color rgb="FF1D2A35"/>
      <x:name val="DejaVu Sans"/>
    </x:font>
    <x:font>
      <x:sz val="11"/>
      <x:color rgb="FF1D2A35"/>
      <x:name val="Carlito"/>
    </x:font>
  </x:fonts>
  <x:fills count="16">
    <x:fill>
      <x:patternFill patternType="none"/>
    </x:fill>
    <x:fill>
      <x:patternFill patternType="gray125"/>
    </x:fill>
    <x:fill>
      <x:patternFill patternType="solid">
        <x:fgColor rgb="FF0B1F33"/>
      </x:patternFill>
    </x:fill>
    <x:fill>
      <x:patternFill patternType="solid">
        <x:fgColor rgb="FFF4F7F8"/>
      </x:patternFill>
    </x:fill>
    <x:fill>
      <x:patternFill patternType="solid">
        <x:fgColor rgb="FF0F766E"/>
      </x:patternFill>
    </x:fill>
    <x:fill>
      <x:patternFill patternType="solid">
        <x:fgColor rgb="FFFFFFFF"/>
      </x:patternFill>
    </x:fill>
    <x:fill>
      <x:patternFill patternType="solid">
        <x:fgColor rgb="FFDDF3EE"/>
      </x:patternFill>
    </x:fill>
    <x:fill>
      <x:patternFill patternType="solid">
        <x:fgColor rgb="FFF7ECD4"/>
      </x:patternFill>
    </x:fill>
    <x:fill>
      <x:patternFill patternType="solid">
        <x:fgColor rgb="FF0F766E"/>
      </x:patternFill>
    </x:fill>
    <x:fill>
      <x:patternFill patternType="solid">
        <x:fgColor rgb="FFFFFFFF"/>
      </x:patternFill>
    </x:fill>
    <x:fill>
      <x:patternFill patternType="solid">
        <x:fgColor rgb="FF0F766E"/>
      </x:patternFill>
    </x:fill>
    <x:fill>
      <x:patternFill patternType="solid">
        <x:fgColor rgb="FFFFFFFF"/>
      </x:patternFill>
    </x:fill>
    <x:fill>
      <x:patternFill patternType="solid">
        <x:fgColor rgb="FF0F766E"/>
      </x:patternFill>
    </x:fill>
    <x:fill>
      <x:patternFill patternType="solid">
        <x:fgColor rgb="FFFFFFFF"/>
      </x:patternFill>
    </x:fill>
    <x:fill>
      <x:patternFill patternType="solid">
        <x:fgColor rgb="FF0F766E"/>
      </x:patternFill>
    </x:fill>
    <x:fill>
      <x:patternFill patternType="solid">
        <x:fgColor rgb="FFFFFFFF"/>
      </x:patternFill>
    </x:fill>
  </x:fills>
  <x:borders count="12">
    <x:border/>
    <x:border>
      <x:left style="thin">
        <x:color rgb="FFD7E0E5"/>
      </x:left>
      <x:top style="thin">
        <x:color rgb="FFD7E0E5"/>
      </x:top>
      <x:bottom style="thin">
        <x:color rgb="FFD7E0E5"/>
      </x:bottom>
    </x:border>
    <x:border>
      <x:top style="thin">
        <x:color rgb="FFD7E0E5"/>
      </x:top>
      <x:bottom style="thin">
        <x:color rgb="FFD7E0E5"/>
      </x:bottom>
    </x:border>
    <x:border>
      <x:right style="thin">
        <x:color rgb="FFD7E0E5"/>
      </x:right>
      <x:top style="thin">
        <x:color rgb="FFD7E0E5"/>
      </x:top>
      <x:bottom style="thin">
        <x:color rgb="FFD7E0E5"/>
      </x:bottom>
    </x:border>
    <x:border>
      <x:bottom style="thin">
        <x:color rgb="FFD7E0E5"/>
      </x:bottom>
    </x:border>
    <x:border>
      <x:top style="thin">
        <x:color rgb="FFD7E0E5"/>
      </x:top>
    </x:border>
    <x:border>
      <x:left style="thin">
        <x:color rgb="FFD7E0E5"/>
      </x:left>
      <x:right style="thin">
        <x:color rgb="FFD7E0E5"/>
      </x:right>
      <x:top style="thin">
        <x:color rgb="FFD7E0E5"/>
      </x:top>
      <x:bottom style="thin">
        <x:color rgb="FFD7E0E5"/>
      </x:bottom>
    </x:border>
    <x:border>
      <x:right style="thin">
        <x:color rgb="FFB8D6D0"/>
      </x:right>
      <x:bottom style="medium">
        <x:color rgb="FF0B1F33"/>
      </x:bottom>
    </x:border>
    <x:border>
      <x:left style="thin">
        <x:color rgb="FFB8D6D0"/>
      </x:left>
      <x:right style="thin">
        <x:color rgb="FFB8D6D0"/>
      </x:right>
      <x:bottom style="medium">
        <x:color rgb="FF0B1F33"/>
      </x:bottom>
    </x:border>
    <x:border>
      <x:left style="thin">
        <x:color rgb="FFB8D6D0"/>
      </x:left>
      <x:bottom style="medium">
        <x:color rgb="FF0B1F33"/>
      </x:bottom>
    </x:border>
    <x:border>
      <x:right style="thin">
        <x:color rgb="FFD7E0E5"/>
      </x:right>
      <x:top style="thin">
        <x:color rgb="FFD7E0E5"/>
      </x:top>
    </x:border>
    <x:border>
      <x:left style="thin">
        <x:color rgb="FFB8D6D0"/>
      </x:left>
      <x:right style="thin">
        <x:color rgb="FFB8D6D0"/>
      </x:right>
      <x:top style="thin">
        <x:color rgb="FFB8D6D0"/>
      </x:top>
      <x:bottom style="thin">
        <x:color rgb="FFB8D6D0"/>
      </x:bottom>
    </x:border>
  </x:borders>
  <x:cellStyleXfs count="1">
    <x:xf numFmtId="0" fontId="0" fillId="0" borderId="0"/>
  </x:cellStyleXfs>
  <x:cellXfs count="144">
    <x:xf numFmtId="0" fontId="0" fillId="0" borderId="0"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3" borderId="0" xfId="0"/>
    <x:xf numFmtId="0" fontId="2" fillId="3" borderId="0" xfId="0"/>
    <x:xf numFmtId="0" fontId="2" fillId="3" borderId="1" xfId="0"/>
    <x:xf numFmtId="0" fontId="2" fillId="3" borderId="2" xfId="0"/>
    <x:xf numFmtId="0" fontId="2" fillId="3" borderId="3" xfId="0"/>
    <x:xf numFmtId="0" fontId="2" fillId="3" borderId="1" xfId="0" applyAlignment="1">
      <x:alignment horizontal="left"/>
    </x:xf>
    <x:xf numFmtId="0" fontId="2" fillId="3" borderId="2" xfId="0" applyAlignment="1">
      <x:alignment horizontal="left"/>
    </x:xf>
    <x:xf numFmtId="0" fontId="2" fillId="3" borderId="3" xfId="0" applyAlignment="1">
      <x:alignment horizontal="left"/>
    </x:xf>
    <x:xf numFmtId="0" fontId="2" fillId="3" borderId="1" xfId="0" applyAlignment="1">
      <x:alignment horizontal="left" vertical="center"/>
    </x:xf>
    <x:xf numFmtId="0" fontId="2" fillId="3" borderId="2" xfId="0" applyAlignment="1">
      <x:alignment horizontal="left" vertical="center"/>
    </x:xf>
    <x:xf numFmtId="0" fontId="2" fillId="3" borderId="3" xfId="0" applyAlignment="1">
      <x:alignment horizontal="left" vertical="center"/>
    </x:xf>
    <x:xf numFmtId="0" fontId="0" fillId="4" borderId="0" xfId="0"/>
    <x:xf numFmtId="0" fontId="3" fillId="4" borderId="0" xfId="0"/>
    <x:xf numFmtId="0" fontId="3" fillId="4" borderId="0" xfId="0" applyAlignment="1">
      <x:alignment horizontal="left"/>
    </x:xf>
    <x:xf numFmtId="0" fontId="3" fillId="4" borderId="0" xfId="0" applyAlignment="1">
      <x:alignment horizontal="left" vertical="center"/>
    </x:xf>
    <x:xf numFmtId="0" fontId="0" fillId="5" borderId="0" xfId="0"/>
    <x:xf numFmtId="0" fontId="4" fillId="5" borderId="0" xfId="0"/>
    <x:xf numFmtId="0" fontId="4" fillId="5" borderId="4" xfId="0"/>
    <x:xf numFmtId="0" fontId="4" fillId="5" borderId="2" xfId="0"/>
    <x:xf numFmtId="0" fontId="4" fillId="5" borderId="5" xfId="0"/>
    <x:xf numFmtId="0" fontId="4" fillId="5" borderId="4" xfId="0" applyAlignment="1">
      <x:alignment vertical="center"/>
    </x:xf>
    <x:xf numFmtId="0" fontId="4" fillId="5" borderId="2" xfId="0" applyAlignment="1">
      <x:alignment vertical="center"/>
    </x:xf>
    <x:xf numFmtId="0" fontId="4" fillId="5" borderId="5" xfId="0" applyAlignment="1">
      <x:alignment vertical="center"/>
    </x:xf>
    <x:xf numFmtId="0" fontId="5" fillId="5" borderId="4" xfId="0" applyAlignment="1">
      <x:alignment vertical="center"/>
    </x:xf>
    <x:xf numFmtId="0" fontId="5" fillId="5" borderId="2" xfId="0" applyAlignment="1">
      <x:alignment vertical="center"/>
    </x:xf>
    <x:xf numFmtId="0" fontId="5" fillId="5" borderId="5" xfId="0" applyAlignment="1">
      <x:alignment vertical="center"/>
    </x:xf>
    <x:xf numFmtId="0" fontId="4" fillId="6" borderId="2" xfId="0" applyAlignment="1">
      <x:alignment vertical="center"/>
    </x:xf>
    <x:xf numFmtId="0" fontId="4" fillId="6" borderId="5" xfId="0" applyAlignment="1">
      <x:alignment vertical="center"/>
    </x:xf>
    <x:xf numFmtId="0" fontId="6" fillId="6" borderId="2" xfId="0" applyAlignment="1">
      <x:alignment vertical="center"/>
    </x:xf>
    <x:xf numFmtId="0" fontId="6" fillId="6" borderId="5" xfId="0" applyAlignment="1">
      <x:alignment vertical="center"/>
    </x:xf>
    <x:xf numFmtId="0" fontId="6" fillId="6" borderId="6" xfId="0" applyAlignment="1">
      <x:alignment vertical="center"/>
    </x:xf>
    <x:xf numFmtId="3" fontId="6" fillId="6" borderId="6" xfId="0" applyAlignment="1">
      <x:alignment vertical="center"/>
    </x:xf>
    <x:xf numFmtId="3" fontId="6" fillId="6" borderId="6" xfId="0" applyAlignment="1">
      <x:alignment horizontal="right" vertical="center"/>
    </x:xf>
    <x:xf numFmtId="3" fontId="4" fillId="5" borderId="4" xfId="0" applyAlignment="1">
      <x:alignment vertical="center"/>
    </x:xf>
    <x:xf numFmtId="3" fontId="4" fillId="5" borderId="2" xfId="0" applyAlignment="1">
      <x:alignment vertical="center"/>
    </x:xf>
    <x:xf numFmtId="3" fontId="4" fillId="5" borderId="5" xfId="0" applyAlignment="1">
      <x:alignment vertical="center"/>
    </x:xf>
    <x:xf numFmtId="0" fontId="0" fillId="7" borderId="0" xfId="0"/>
    <x:xf numFmtId="0" fontId="7" fillId="7" borderId="0" xfId="0"/>
    <x:xf numFmtId="0" fontId="7" fillId="7" borderId="0" xfId="0" applyAlignment="1">
      <x:alignment vertical="center"/>
    </x:xf>
    <x:xf numFmtId="0" fontId="4" fillId="5" borderId="4" xfId="0" applyAlignment="1">
      <x:alignment wrapText="1"/>
    </x:xf>
    <x:xf numFmtId="0" fontId="4" fillId="5" borderId="4" xfId="0" applyAlignment="1">
      <x:alignment vertical="center" wrapText="1"/>
    </x:xf>
    <x:xf numFmtId="0" fontId="8" fillId="0" borderId="0" xfId="0"/>
    <x:xf numFmtId="0" fontId="9" fillId="4" borderId="0" xfId="0"/>
    <x:xf numFmtId="0" fontId="9" fillId="4" borderId="7" xfId="0"/>
    <x:xf numFmtId="0" fontId="9" fillId="4" borderId="8" xfId="0"/>
    <x:xf numFmtId="0" fontId="9" fillId="4" borderId="9" xfId="0"/>
    <x:xf numFmtId="0" fontId="9" fillId="4" borderId="7" xfId="0" applyAlignment="1">
      <x:alignment wrapText="1"/>
    </x:xf>
    <x:xf numFmtId="0" fontId="9" fillId="4" borderId="8" xfId="0" applyAlignment="1">
      <x:alignment wrapText="1"/>
    </x:xf>
    <x:xf numFmtId="0" fontId="9" fillId="4" borderId="9" xfId="0" applyAlignment="1">
      <x:alignment wrapText="1"/>
    </x:xf>
    <x:xf numFmtId="0" fontId="9" fillId="4" borderId="7" xfId="0" applyAlignment="1">
      <x:alignment horizontal="center" wrapText="1"/>
    </x:xf>
    <x:xf numFmtId="0" fontId="9" fillId="4" borderId="8" xfId="0" applyAlignment="1">
      <x:alignment horizontal="center" wrapText="1"/>
    </x:xf>
    <x:xf numFmtId="0" fontId="9" fillId="4" borderId="9" xfId="0" applyAlignment="1">
      <x:alignment horizontal="center" wrapText="1"/>
    </x:xf>
    <x:xf numFmtId="0" fontId="9" fillId="4" borderId="7" xfId="0" applyAlignment="1">
      <x:alignment horizontal="center" vertical="center" wrapText="1"/>
    </x:xf>
    <x:xf numFmtId="0" fontId="9" fillId="4" borderId="8" xfId="0" applyAlignment="1">
      <x:alignment horizontal="center" vertical="center" wrapText="1"/>
    </x:xf>
    <x:xf numFmtId="0" fontId="9" fillId="4" borderId="9" xfId="0" applyAlignment="1">
      <x:alignment horizontal="center" vertical="center" wrapText="1"/>
    </x:xf>
    <x:xf numFmtId="0" fontId="4" fillId="5" borderId="4" xfId="0" applyAlignment="1">
      <x:alignment vertical="top" wrapText="1"/>
    </x:xf>
    <x:xf numFmtId="1" fontId="4" fillId="5" borderId="4" xfId="0" applyAlignment="1">
      <x:alignment vertical="top" wrapText="1"/>
    </x:xf>
    <x:xf numFmtId="164" fontId="4" fillId="5" borderId="4" xfId="0" applyAlignment="1">
      <x:alignment vertical="top" wrapText="1"/>
    </x:xf>
    <x:xf numFmtId="0" fontId="4" fillId="5" borderId="2" xfId="0" applyAlignment="1">
      <x:alignment wrapText="1"/>
    </x:xf>
    <x:xf numFmtId="0" fontId="4" fillId="5" borderId="2" xfId="0" applyAlignment="1">
      <x:alignment vertical="top" wrapText="1"/>
    </x:xf>
    <x:xf numFmtId="1" fontId="4" fillId="5" borderId="2" xfId="0" applyAlignment="1">
      <x:alignment vertical="top" wrapText="1"/>
    </x:xf>
    <x:xf numFmtId="3" fontId="4" fillId="5" borderId="4" xfId="0" applyAlignment="1">
      <x:alignment vertical="top" wrapText="1"/>
    </x:xf>
    <x:xf numFmtId="0" fontId="2" fillId="3" borderId="6" xfId="0" applyAlignment="1">
      <x:alignment horizontal="left" vertical="center"/>
    </x:xf>
    <x:xf numFmtId="0" fontId="0" fillId="0" borderId="2" xfId="0"/>
    <x:xf numFmtId="0" fontId="0" fillId="0" borderId="3" xfId="0"/>
    <x:xf numFmtId="3" fontId="4" fillId="5" borderId="4" xfId="0" applyAlignment="1">
      <x:alignment vertical="center"/>
    </x:xf>
    <x:xf numFmtId="3" fontId="6" fillId="6" borderId="6" xfId="0" applyAlignment="1">
      <x:alignment horizontal="right" vertical="center"/>
    </x:xf>
    <x:xf numFmtId="3" fontId="4" fillId="5" borderId="2" xfId="0" applyAlignment="1">
      <x:alignment vertical="center"/>
    </x:xf>
    <x:xf numFmtId="3" fontId="4" fillId="5" borderId="5" xfId="0" applyAlignment="1">
      <x:alignment vertical="center"/>
    </x:xf>
    <x:xf numFmtId="0" fontId="0" fillId="0" borderId="4" xfId="0"/>
    <x:xf numFmtId="164" fontId="4" fillId="5" borderId="4" xfId="0" applyAlignment="1">
      <x:alignment vertical="top" wrapText="1"/>
    </x:xf>
    <x:xf numFmtId="1" fontId="4" fillId="5" borderId="4" xfId="0" applyAlignment="1">
      <x:alignment vertical="top" wrapText="1"/>
    </x:xf>
    <x:xf numFmtId="3" fontId="4" fillId="5" borderId="4" xfId="0" applyAlignment="1">
      <x:alignment vertical="top" wrapText="1"/>
    </x:xf>
    <x:xf numFmtId="0" fontId="9" fillId="8" borderId="7" xfId="0" applyNumberFormat="1" applyFont="1" applyFill="1" applyBorder="1" applyAlignment="1">
      <x:alignment horizontal="center" vertical="center" wrapText="1"/>
    </x:xf>
    <x:xf numFmtId="0" fontId="9" fillId="8" borderId="8" xfId="0" applyNumberFormat="1" applyFont="1" applyFill="1" applyBorder="1" applyAlignment="1">
      <x:alignment horizontal="center" vertical="center" wrapText="1"/>
    </x:xf>
    <x:xf numFmtId="0" fontId="9" fillId="8" borderId="9" xfId="0" applyNumberFormat="1" applyFont="1" applyFill="1" applyBorder="1" applyAlignment="1">
      <x:alignment horizontal="center" vertical="center" wrapText="1"/>
    </x:xf>
    <x:xf numFmtId="0" fontId="0" fillId="8" borderId="0" xfId="0" applyNumberFormat="1" applyFont="1" applyFill="1" applyBorder="1"/>
    <x:xf numFmtId="0" fontId="10" fillId="8" borderId="0" xfId="0" applyNumberFormat="1" applyFont="1" applyFill="1" applyBorder="1"/>
    <x:xf numFmtId="0" fontId="9" fillId="8" borderId="11" xfId="0" applyNumberFormat="1" applyFont="1" applyFill="1" applyBorder="1" applyAlignment="1">
      <x:alignment horizontal="center" vertical="center" wrapText="1"/>
    </x:xf>
    <x:xf numFmtId="0" fontId="10" fillId="8" borderId="11" xfId="0" applyNumberFormat="1" applyFont="1" applyFill="1" applyBorder="1"/>
    <x:xf numFmtId="0" fontId="10" fillId="8" borderId="11" xfId="0" applyNumberFormat="1" applyFont="1" applyFill="1" applyBorder="1" applyAlignment="1">
      <x:alignment wrapText="1"/>
    </x:xf>
    <x:xf numFmtId="0" fontId="10" fillId="8" borderId="11" xfId="0" applyNumberFormat="1" applyFont="1" applyFill="1" applyBorder="1" applyAlignment="1">
      <x:alignment horizontal="center" wrapText="1"/>
    </x:xf>
    <x:xf numFmtId="0" fontId="10" fillId="8" borderId="11" xfId="0" applyNumberFormat="1" applyFont="1" applyFill="1" applyBorder="1" applyAlignment="1">
      <x:alignment horizontal="center" vertical="center" wrapText="1"/>
    </x:xf>
    <x:xf numFmtId="0" fontId="4" fillId="9" borderId="4" xfId="0" applyNumberFormat="1" applyFont="1" applyFill="1" applyBorder="1" applyAlignment="1">
      <x:alignment vertical="top" wrapText="1"/>
    </x:xf>
    <x:xf numFmtId="1" fontId="4" fillId="9" borderId="4" xfId="0" applyNumberFormat="1" applyFont="1" applyFill="1" applyBorder="1" applyAlignment="1">
      <x:alignment vertical="top" wrapText="1"/>
    </x:xf>
    <x:xf numFmtId="0" fontId="0" fillId="9" borderId="0" xfId="0" applyNumberFormat="1" applyFont="1" applyFill="1" applyBorder="1"/>
    <x:xf numFmtId="0" fontId="11" fillId="9" borderId="4" xfId="0" applyNumberFormat="1" applyFont="1" applyFill="1" applyBorder="1" applyAlignment="1">
      <x:alignment vertical="top" wrapText="1"/>
    </x:xf>
    <x:xf numFmtId="1" fontId="11" fillId="9" borderId="4" xfId="0" applyNumberFormat="1" applyFont="1" applyFill="1" applyBorder="1" applyAlignment="1">
      <x:alignment vertical="top" wrapText="1"/>
    </x:xf>
    <x:xf numFmtId="0" fontId="12" fillId="9" borderId="0" xfId="0" applyNumberFormat="1" applyFont="1" applyFill="1" applyBorder="1"/>
    <x:xf numFmtId="0" fontId="12" fillId="9" borderId="4" xfId="0" applyNumberFormat="1" applyFont="1" applyFill="1" applyBorder="1"/>
    <x:xf numFmtId="0" fontId="11" fillId="9" borderId="2" xfId="0" applyNumberFormat="1" applyFont="1" applyFill="1" applyBorder="1" applyAlignment="1">
      <x:alignment vertical="top" wrapText="1"/>
    </x:xf>
    <x:xf numFmtId="1" fontId="11" fillId="9" borderId="2" xfId="0" applyNumberFormat="1" applyFont="1" applyFill="1" applyBorder="1" applyAlignment="1">
      <x:alignment vertical="top" wrapText="1"/>
    </x:xf>
    <x:xf numFmtId="0" fontId="12" fillId="9" borderId="2" xfId="0" applyNumberFormat="1" applyFont="1" applyFill="1" applyBorder="1"/>
    <x:xf numFmtId="0" fontId="12" fillId="9" borderId="4" xfId="0" applyNumberFormat="1" applyFont="1" applyFill="1" applyBorder="1" applyAlignment="1">
      <x:alignment wrapText="1"/>
    </x:xf>
    <x:xf numFmtId="0" fontId="12" fillId="9" borderId="2" xfId="0" applyNumberFormat="1" applyFont="1" applyFill="1" applyBorder="1" applyAlignment="1">
      <x:alignment wrapText="1"/>
    </x:xf>
    <x:xf numFmtId="0" fontId="12" fillId="9" borderId="4" xfId="0" applyNumberFormat="1" applyFont="1" applyFill="1" applyBorder="1" applyAlignment="1">
      <x:alignment vertical="top" wrapText="1"/>
    </x:xf>
    <x:xf numFmtId="0" fontId="12" fillId="9" borderId="2" xfId="0" applyNumberFormat="1" applyFont="1" applyFill="1" applyBorder="1" applyAlignment="1">
      <x:alignment vertical="top" wrapText="1"/>
    </x:xf>
    <x:xf numFmtId="0" fontId="11" fillId="9" borderId="4" xfId="0" applyNumberFormat="1" applyFont="1" applyFill="1" applyBorder="1" applyAlignment="1">
      <x:alignment horizontal="center" vertical="top" wrapText="1"/>
    </x:xf>
    <x:xf numFmtId="0" fontId="11" fillId="9" borderId="2" xfId="0" applyNumberFormat="1" applyFont="1" applyFill="1" applyBorder="1" applyAlignment="1">
      <x:alignment horizontal="center" vertical="top" wrapText="1"/>
    </x:xf>
    <x:xf numFmtId="0" fontId="12" fillId="9" borderId="2" xfId="0" applyNumberFormat="1" applyFont="1" applyFill="1" applyBorder="1" applyAlignment="1">
      <x:alignment horizontal="center" vertical="top" wrapText="1"/>
    </x:xf>
    <x:xf numFmtId="1" fontId="11" fillId="9" borderId="4" xfId="0" applyNumberFormat="1" applyFont="1" applyFill="1" applyBorder="1" applyAlignment="1">
      <x:alignment horizontal="center" vertical="top" wrapText="1"/>
    </x:xf>
    <x:xf numFmtId="1" fontId="11" fillId="9" borderId="2" xfId="0" applyNumberFormat="1" applyFont="1" applyFill="1" applyBorder="1" applyAlignment="1">
      <x:alignment horizontal="center" vertical="top" wrapText="1"/>
    </x:xf>
    <x:xf numFmtId="0" fontId="12" fillId="9" borderId="4" xfId="0" applyNumberFormat="1" applyFont="1" applyFill="1" applyBorder="1" applyAlignment="1">
      <x:alignment horizontal="center" vertical="top" wrapText="1"/>
    </x:xf>
    <x:xf numFmtId="0" fontId="9" fillId="10" borderId="11" xfId="0" applyNumberFormat="1" applyFont="1" applyFill="1" applyBorder="1" applyAlignment="1">
      <x:alignment horizontal="center" vertical="center" wrapText="1"/>
    </x:xf>
    <x:xf numFmtId="0" fontId="10" fillId="10" borderId="11" xfId="0" applyNumberFormat="1" applyFont="1" applyFill="1" applyBorder="1" applyAlignment="1">
      <x:alignment horizontal="center" vertical="center" wrapText="1"/>
    </x:xf>
    <x:xf numFmtId="0" fontId="11" fillId="11" borderId="4" xfId="0" applyNumberFormat="1" applyFont="1" applyFill="1" applyBorder="1" applyAlignment="1">
      <x:alignment horizontal="center" vertical="top" wrapText="1"/>
    </x:xf>
    <x:xf numFmtId="0" fontId="11" fillId="11" borderId="4" xfId="0" applyNumberFormat="1" applyFont="1" applyFill="1" applyBorder="1" applyAlignment="1">
      <x:alignment vertical="top" wrapText="1"/>
    </x:xf>
    <x:xf numFmtId="1" fontId="11" fillId="11" borderId="4" xfId="0" applyNumberFormat="1" applyFont="1" applyFill="1" applyBorder="1" applyAlignment="1">
      <x:alignment horizontal="center" vertical="top" wrapText="1"/>
    </x:xf>
    <x:xf numFmtId="0" fontId="12" fillId="11" borderId="4" xfId="0" applyNumberFormat="1" applyFont="1" applyFill="1" applyBorder="1" applyAlignment="1">
      <x:alignment horizontal="center" vertical="top" wrapText="1"/>
    </x:xf>
    <x:xf numFmtId="0" fontId="12" fillId="11" borderId="4" xfId="0" applyNumberFormat="1" applyFont="1" applyFill="1" applyBorder="1" applyAlignment="1">
      <x:alignment vertical="top" wrapText="1"/>
    </x:xf>
    <x:xf numFmtId="0" fontId="11" fillId="11" borderId="2" xfId="0" applyNumberFormat="1" applyFont="1" applyFill="1" applyBorder="1" applyAlignment="1">
      <x:alignment horizontal="center" vertical="top" wrapText="1"/>
    </x:xf>
    <x:xf numFmtId="0" fontId="11" fillId="11" borderId="2" xfId="0" applyNumberFormat="1" applyFont="1" applyFill="1" applyBorder="1" applyAlignment="1">
      <x:alignment vertical="top" wrapText="1"/>
    </x:xf>
    <x:xf numFmtId="1" fontId="11" fillId="11" borderId="2" xfId="0" applyNumberFormat="1" applyFont="1" applyFill="1" applyBorder="1" applyAlignment="1">
      <x:alignment horizontal="center" vertical="top" wrapText="1"/>
    </x:xf>
    <x:xf numFmtId="0" fontId="12" fillId="11" borderId="2" xfId="0" applyNumberFormat="1" applyFont="1" applyFill="1" applyBorder="1" applyAlignment="1">
      <x:alignment horizontal="center" vertical="top" wrapText="1"/>
    </x:xf>
    <x:xf numFmtId="0" fontId="12" fillId="11" borderId="2" xfId="0" applyNumberFormat="1" applyFont="1" applyFill="1" applyBorder="1" applyAlignment="1">
      <x:alignment vertical="top" wrapText="1"/>
    </x:xf>
    <x:xf numFmtId="0" fontId="9" fillId="12" borderId="11" xfId="0" applyNumberFormat="1" applyFont="1" applyFill="1" applyBorder="1" applyAlignment="1">
      <x:alignment horizontal="center" vertical="center" wrapText="1"/>
    </x:xf>
    <x:xf numFmtId="0" fontId="10" fillId="12" borderId="11" xfId="0" applyNumberFormat="1" applyFont="1" applyFill="1" applyBorder="1" applyAlignment="1">
      <x:alignment horizontal="center" vertical="center" wrapText="1"/>
    </x:xf>
    <x:xf numFmtId="0" fontId="11" fillId="13" borderId="4" xfId="0" applyNumberFormat="1" applyFont="1" applyFill="1" applyBorder="1" applyAlignment="1">
      <x:alignment horizontal="center" vertical="top" wrapText="1"/>
    </x:xf>
    <x:xf numFmtId="0" fontId="11" fillId="13" borderId="4" xfId="0" applyNumberFormat="1" applyFont="1" applyFill="1" applyBorder="1" applyAlignment="1">
      <x:alignment vertical="top" wrapText="1"/>
    </x:xf>
    <x:xf numFmtId="1" fontId="11" fillId="13" borderId="4" xfId="0" applyNumberFormat="1" applyFont="1" applyFill="1" applyBorder="1" applyAlignment="1">
      <x:alignment horizontal="center" vertical="top" wrapText="1"/>
    </x:xf>
    <x:xf numFmtId="0" fontId="12" fillId="13" borderId="4" xfId="0" applyNumberFormat="1" applyFont="1" applyFill="1" applyBorder="1" applyAlignment="1">
      <x:alignment horizontal="center" vertical="top" wrapText="1"/>
    </x:xf>
    <x:xf numFmtId="0" fontId="12" fillId="13" borderId="4" xfId="0" applyNumberFormat="1" applyFont="1" applyFill="1" applyBorder="1" applyAlignment="1">
      <x:alignment vertical="top" wrapText="1"/>
    </x:xf>
    <x:xf numFmtId="0" fontId="11" fillId="13" borderId="2" xfId="0" applyNumberFormat="1" applyFont="1" applyFill="1" applyBorder="1" applyAlignment="1">
      <x:alignment horizontal="center" vertical="top" wrapText="1"/>
    </x:xf>
    <x:xf numFmtId="0" fontId="11" fillId="13" borderId="2" xfId="0" applyNumberFormat="1" applyFont="1" applyFill="1" applyBorder="1" applyAlignment="1">
      <x:alignment vertical="top" wrapText="1"/>
    </x:xf>
    <x:xf numFmtId="1" fontId="11" fillId="13" borderId="2" xfId="0" applyNumberFormat="1" applyFont="1" applyFill="1" applyBorder="1" applyAlignment="1">
      <x:alignment horizontal="center" vertical="top" wrapText="1"/>
    </x:xf>
    <x:xf numFmtId="0" fontId="12" fillId="13" borderId="2" xfId="0" applyNumberFormat="1" applyFont="1" applyFill="1" applyBorder="1" applyAlignment="1">
      <x:alignment horizontal="center" vertical="top" wrapText="1"/>
    </x:xf>
    <x:xf numFmtId="0" fontId="12" fillId="13" borderId="2" xfId="0" applyNumberFormat="1" applyFont="1" applyFill="1" applyBorder="1" applyAlignment="1">
      <x:alignment vertical="top" wrapText="1"/>
    </x:xf>
    <x:xf numFmtId="0" fontId="9" fillId="14" borderId="11" xfId="0" applyNumberFormat="1" applyFont="1" applyFill="1" applyBorder="1" applyAlignment="1">
      <x:alignment horizontal="center" vertical="center" wrapText="1"/>
    </x:xf>
    <x:xf numFmtId="0" fontId="10" fillId="14" borderId="11" xfId="0" applyNumberFormat="1" applyFont="1" applyFill="1" applyBorder="1" applyAlignment="1">
      <x:alignment horizontal="center" vertical="center" wrapText="1"/>
    </x:xf>
    <x:xf numFmtId="0" fontId="11" fillId="15" borderId="4" xfId="0" applyNumberFormat="1" applyFont="1" applyFill="1" applyBorder="1" applyAlignment="1">
      <x:alignment horizontal="center" vertical="top" wrapText="1"/>
    </x:xf>
    <x:xf numFmtId="0" fontId="11" fillId="15" borderId="4" xfId="0" applyNumberFormat="1" applyFont="1" applyFill="1" applyBorder="1" applyAlignment="1">
      <x:alignment vertical="top" wrapText="1"/>
    </x:xf>
    <x:xf numFmtId="1" fontId="11" fillId="15" borderId="4" xfId="0" applyNumberFormat="1" applyFont="1" applyFill="1" applyBorder="1" applyAlignment="1">
      <x:alignment horizontal="center" vertical="top" wrapText="1"/>
    </x:xf>
    <x:xf numFmtId="0" fontId="12" fillId="15" borderId="4" xfId="0" applyNumberFormat="1" applyFont="1" applyFill="1" applyBorder="1" applyAlignment="1">
      <x:alignment horizontal="center" vertical="top" wrapText="1"/>
    </x:xf>
    <x:xf numFmtId="0" fontId="12" fillId="15" borderId="4" xfId="0" applyNumberFormat="1" applyFont="1" applyFill="1" applyBorder="1" applyAlignment="1">
      <x:alignment vertical="top" wrapText="1"/>
    </x:xf>
    <x:xf numFmtId="0" fontId="11" fillId="15" borderId="2" xfId="0" applyNumberFormat="1" applyFont="1" applyFill="1" applyBorder="1" applyAlignment="1">
      <x:alignment horizontal="center" vertical="top" wrapText="1"/>
    </x:xf>
    <x:xf numFmtId="0" fontId="11" fillId="15" borderId="2" xfId="0" applyNumberFormat="1" applyFont="1" applyFill="1" applyBorder="1" applyAlignment="1">
      <x:alignment vertical="top" wrapText="1"/>
    </x:xf>
    <x:xf numFmtId="1" fontId="11" fillId="15" borderId="2" xfId="0" applyNumberFormat="1" applyFont="1" applyFill="1" applyBorder="1" applyAlignment="1">
      <x:alignment horizontal="center" vertical="top" wrapText="1"/>
    </x:xf>
    <x:xf numFmtId="0" fontId="12" fillId="15" borderId="2" xfId="0" applyNumberFormat="1" applyFont="1" applyFill="1" applyBorder="1" applyAlignment="1">
      <x:alignment horizontal="center" vertical="top" wrapText="1"/>
    </x:xf>
    <x:xf numFmtId="0" fontId="12" fillId="15" borderId="2" xfId="0" applyNumberFormat="1" applyFont="1" applyFill="1" applyBorder="1" applyAlignment="1">
      <x:alignment vertical="top"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01931cf2ad5a42ce" /><Relationship Type="http://schemas.openxmlformats.org/officeDocument/2006/relationships/theme" Target="/xl/theme/theme1.xml" Id="R173b5d401dbb445a" /><Relationship Type="http://schemas.openxmlformats.org/officeDocument/2006/relationships/sharedStrings" Target="/xl/sharedStrings.xml" Id="R8b3b64eaf8e44d52" /><Relationship Type="http://schemas.openxmlformats.org/officeDocument/2006/relationships/worksheet" Target="/xl/worksheets/sheet1.xml" Id="R230592ed57534b8b" /><Relationship Type="http://schemas.openxmlformats.org/officeDocument/2006/relationships/worksheet" Target="/xl/worksheets/sheet2.xml" Id="R7637fb471bf1490f" /><Relationship Type="http://schemas.openxmlformats.org/officeDocument/2006/relationships/worksheet" Target="/xl/worksheets/sheet3.xml" Id="R3590b56330184b56" /><Relationship Type="http://schemas.openxmlformats.org/officeDocument/2006/relationships/worksheet" Target="/xl/worksheets/sheet4.xml" Id="R6e919596e82f4c81" /></Relationships>
</file>

<file path=xl/tables/table1.xml><?xml version="1.0" encoding="utf-8"?>
<x:table xmlns:x="http://schemas.openxmlformats.org/spreadsheetml/2006/main" id="1" name="NewsLedgerTable" displayName="NewsLedgerTable" ref="A3:O94" headerRowCount="1" totalsRowCount="0" totalsRowShown="0">
  <x:autoFilter ref="A3:O4"/>
  <x:tableColumns count="15">
    <x:tableColumn id="1" name="Collected At (JST)"/>
    <x:tableColumn id="2" name="Published At"/>
    <x:tableColumn id="3" name="Region"/>
    <x:tableColumn id="4" name="Country / Area"/>
    <x:tableColumn id="5" name="Topic"/>
    <x:tableColumn id="6" name="Policy Relevance"/>
    <x:tableColumn id="7" name="Source Type"/>
    <x:tableColumn id="8" name="Source"/>
    <x:tableColumn id="9" name="Title"/>
    <x:tableColumn id="10" name="Summary"/>
    <x:tableColumn id="11" name="URL"/>
    <x:tableColumn id="12" name="Canonical ID"/>
    <x:tableColumn id="13" name="First Seen"/>
    <x:tableColumn id="14" name="Status"/>
    <x:tableColumn id="15" name="Notes"/>
  </x:tableColumns>
  <x:tableStyleInfo name="TableStyleMedium2" showFirstColumn="0" showLastColumn="0" showRowStripes="1" showColumnStripes="0"/>
</x:table>
</file>

<file path=xl/tables/table2.xml><?xml version="1.0" encoding="utf-8"?>
<x:table xmlns:x="http://schemas.openxmlformats.org/spreadsheetml/2006/main" id="4" name="SourceRegistryTable" displayName="SourceRegistryTable" ref="A3:N262" headerRowCount="1" totalsRowCount="0" totalsRowShown="0">
  <x:autoFilter ref="A3:N262"/>
  <x:tableColumns count="14">
    <x:tableColumn id="1" name="Active"/>
    <x:tableColumn id="2" name="Region"/>
    <x:tableColumn id="3" name="Country"/>
    <x:tableColumn id="4" name="Category"/>
    <x:tableColumn id="5" name="Source Name"/>
    <x:tableColumn id="6" name="Organization"/>
    <x:tableColumn id="7" name="Feed URL"/>
    <x:tableColumn id="8" name="Homepage"/>
    <x:tableColumn id="9" name="Priority"/>
    <x:tableColumn id="10" name="Native Feed"/>
    <x:tableColumn id="11" name="Notes"/>
    <x:tableColumn id="12" name="Coverage Tier"/>
    <x:tableColumn id="13" name="Cadence"/>
    <x:tableColumn id="14" name="Topic Tags"/>
  </x:tableColumns>
  <x:tableStyleInfo name="TableStyleMedium4" showFirstColumn="0" showLastColumn="0" showRowStripes="1" showColumnStripes="0"/>
</x:table>
</file>

<file path=xl/tables/table3.xml><?xml version="1.0" encoding="utf-8"?>
<x:table xmlns:x="http://schemas.openxmlformats.org/spreadsheetml/2006/main" id="3" name="RunLogTable" displayName="RunLogTable" ref="A3:H19" headerRowCount="1" totalsRowCount="0" totalsRowShown="0">
  <x:autoFilter ref="A3:H4"/>
  <x:tableColumns count="8">
    <x:tableColumn id="1" name="Run Time (JST)"/>
    <x:tableColumn id="2" name="Feeds Checked"/>
    <x:tableColumn id="3" name="Feeds Succeeded"/>
    <x:tableColumn id="4" name="New Items"/>
    <x:tableColumn id="5" name="Duplicates Skipped"/>
    <x:tableColumn id="6" name="Feed Errors"/>
    <x:tableColumn id="7" name="Duration (sec)"/>
    <x:tableColumn id="8" name="Not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hyperlink" Target="https://openai.com/index/empowering-defenders-through-our-cybersecurity-grant-program" TargetMode="External" Id="R9c377545c07f4ecc" /><Relationship Type="http://schemas.openxmlformats.org/officeDocument/2006/relationships/hyperlink" Target="https://www.epo.org/en/news-events/news/epo-continue-key-role-pct-authority-until-2037" TargetMode="External" Id="R74420de31d1042cc" /><Relationship Type="http://schemas.openxmlformats.org/officeDocument/2006/relationships/hyperlink" Target="https://www.nature.com/articles/d41586-026-02332-8" TargetMode="External" Id="Rada25824d41f4e61" /><Relationship Type="http://schemas.openxmlformats.org/officeDocument/2006/relationships/hyperlink" Target="https://www.epo.org/en/news-events/news/patent-granting-process-fully-digital-1-april-2027" TargetMode="External" Id="R2b600573b6044a7d" /><Relationship Type="http://schemas.openxmlformats.org/officeDocument/2006/relationships/hyperlink" Target="https://doi.org/10.1126/sciadv.aee7533" TargetMode="External" Id="R3ec81b1fdfc847e6" /><Relationship Type="http://schemas.openxmlformats.org/officeDocument/2006/relationships/hyperlink" Target="https://doi.org/10.3389/fnbot.2026.1855550" TargetMode="External" Id="R70d57b9fa49e4a35" /><Relationship Type="http://schemas.openxmlformats.org/officeDocument/2006/relationships/hyperlink" Target="https://doi.org/10.1088/1741-4326/ae8f55" TargetMode="External" Id="Rc55a0d23d2664644" /><Relationship Type="http://schemas.openxmlformats.org/officeDocument/2006/relationships/hyperlink" Target="https://doi.org/10.1038/s41598-026-63204-9" TargetMode="External" Id="R1e7dd4a382f743b0" /><Relationship Type="http://schemas.openxmlformats.org/officeDocument/2006/relationships/hyperlink" Target="https://doi.org/10.5281/zenodo.21512028" TargetMode="External" Id="R15359ca5cca2466c" /><Relationship Type="http://schemas.openxmlformats.org/officeDocument/2006/relationships/hyperlink" Target="https://openai.com/index/adventhealth" TargetMode="External" Id="Rb3f42906a37443b9" /><Relationship Type="http://schemas.openxmlformats.org/officeDocument/2006/relationships/hyperlink" Target="https://openai.com/index/health-in-chatgpt" TargetMode="External" Id="R60bad077b23043c5" /><Relationship Type="http://schemas.openxmlformats.org/officeDocument/2006/relationships/hyperlink" Target="https://www.energy.gov/articles/secretary-energy-chris-wright-announces-first-genesis-mission-projects-selected-accelerate" TargetMode="External" Id="R9012f482413d474a" /><Relationship Type="http://schemas.openxmlformats.org/officeDocument/2006/relationships/hyperlink" Target="https://www.nsf.gov/news/statement-nsf-chief-staff-brian-stone-performing-duties-nsf-1" TargetMode="External" Id="R731ed85ed9aa487e" /><Relationship Type="http://schemas.openxmlformats.org/officeDocument/2006/relationships/hyperlink" Target="https://www.nsf.gov/news/new-nsf-initiative-aims-unlock-dataset-value-ai-enabled" TargetMode="External" Id="R4dd77e43461f416b" /><Relationship Type="http://schemas.openxmlformats.org/officeDocument/2006/relationships/hyperlink" Target="https://www.nsf.gov/news/nsf-announces-83m-investment-integrated-data-systems" TargetMode="External" Id="R6189f74fe03b4f6c" /><Relationship Type="http://schemas.openxmlformats.org/officeDocument/2006/relationships/hyperlink" Target="https://www.nist.gov/news-events/news/2026/07/nist-announces-funding-opportunity-14-mep-centers-advance-small-and-medium" TargetMode="External" Id="R58098469815e4a1d" /><Relationship Type="http://schemas.openxmlformats.org/officeDocument/2006/relationships/hyperlink" Target="https://www.nistep.go.jp/archives/63583/" TargetMode="External" Id="Rcf38541b4ee5421a" /><Relationship Type="http://schemas.openxmlformats.org/officeDocument/2006/relationships/hyperlink" Target="https://www.brookings.edu/articles/policy-not-pr-will-determine-gen-zs-trust-in-ai/" TargetMode="External" Id="Rf5ac94848ac04fdb" /><Relationship Type="http://schemas.openxmlformats.org/officeDocument/2006/relationships/hyperlink" Target="https://www.nature.com/articles/s41586-026-10832-w" TargetMode="External" Id="Ra10fb0b29c2b46fe" /><Relationship Type="http://schemas.openxmlformats.org/officeDocument/2006/relationships/hyperlink" Target="https://www.nature.com/articles/s41586-026-10823-x" TargetMode="External" Id="R49d38986b96e403a" /><Relationship Type="http://schemas.openxmlformats.org/officeDocument/2006/relationships/hyperlink" Target="https://www.nature.com/articles/s41586-026-10828-6" TargetMode="External" Id="R1bedbd0761334a72" /><Relationship Type="http://schemas.openxmlformats.org/officeDocument/2006/relationships/hyperlink" Target="https://www.nature.com/articles/d41586-026-02072-9" TargetMode="External" Id="R100b4b254d124058" /><Relationship Type="http://schemas.openxmlformats.org/officeDocument/2006/relationships/hyperlink" Target="https://www.nature.com/articles/d41586-026-02230-z" TargetMode="External" Id="Rc8370b3200f84548" /><Relationship Type="http://schemas.openxmlformats.org/officeDocument/2006/relationships/hyperlink" Target="https://www.nature.com/articles/d41586-026-02042-1" TargetMode="External" Id="R4e4d8e2ccb6643a5" /><Relationship Type="http://schemas.openxmlformats.org/officeDocument/2006/relationships/hyperlink" Target="https://www.nature.com/articles/d41586-026-02155-7" TargetMode="External" Id="Rb3449e2128464c08" /><Relationship Type="http://schemas.openxmlformats.org/officeDocument/2006/relationships/hyperlink" Target="https://www.nature.com/articles/d41586-026-02233-w" TargetMode="External" Id="R607ffc0d7ad84472" /><Relationship Type="http://schemas.openxmlformats.org/officeDocument/2006/relationships/hyperlink" Target="https://www.nature.com/articles/d41586-026-02302-0" TargetMode="External" Id="R93e84778b4384578" /><Relationship Type="http://schemas.openxmlformats.org/officeDocument/2006/relationships/hyperlink" Target="https://blogs.nvidia.com/blog/wistron-manufacturing-texas/" TargetMode="External" Id="Ra742bbae66264d51" /><Relationship Type="http://schemas.openxmlformats.org/officeDocument/2006/relationships/hyperlink" Target="https://www.gov.uk/government/publications/fixed-telecoms-modernisation-charter" TargetMode="External" Id="R230e66d3c1bb4a57" /><Relationship Type="http://schemas.openxmlformats.org/officeDocument/2006/relationships/hyperlink" Target="https://www.gov.uk/government/publications/telecoms-modernisation-critical-national-infrastructure-charter" TargetMode="External" Id="Rce75ef2bd15a482d" /><Relationship Type="http://schemas.openxmlformats.org/officeDocument/2006/relationships/hyperlink" Target="https://www.fusionindustryassociation.org/fia-outlines-eu-financing-pathway-for-fusion/?utm_source=rss&amp;utm_medium=rss&amp;utm_campaign=fia-outlines-eu-financing-pathway-for-fusion" TargetMode="External" Id="R896b25d271234657" /><Relationship Type="http://schemas.openxmlformats.org/officeDocument/2006/relationships/hyperlink" Target="https://doi.org/10.3390/engproc2026150039" TargetMode="External" Id="R8138cbde636d4898" /><Relationship Type="http://schemas.openxmlformats.org/officeDocument/2006/relationships/hyperlink" Target="https://brookings.edu/articles/repaying-the-inheritance-how-education-and-research-policy-can-address-ais-borrowed-expertise" TargetMode="External" Id="R3ce6ef3149ab46df" /><Relationship Type="http://schemas.openxmlformats.org/officeDocument/2006/relationships/hyperlink" Target="https://event.on24.com/wcc/r/5418459/287E3D5B99470D34C830D69A24B3B207" TargetMode="External" Id="R00d5fcd317e647e8" /><Relationship Type="http://schemas.openxmlformats.org/officeDocument/2006/relationships/hyperlink" Target="https://blogs.nvidia.com/blog/siggraph-news-2026/" TargetMode="External" Id="R02705b4e48594501" /><Relationship Type="http://schemas.openxmlformats.org/officeDocument/2006/relationships/hyperlink" Target="https://www.scmp.com/tech/big-tech/article/3361242/no-longer-token-economy-sensetime-bets-task-economy-token-prices-set-drop?utm_source=rss_feed" TargetMode="External" Id="R5d9f520513134b25" /><Relationship Type="http://schemas.openxmlformats.org/officeDocument/2006/relationships/hyperlink" Target="https://www.gov.uk/government/publications/premises-contracted-and-built-project-gigabit-contracts" TargetMode="External" Id="R9c350e78fecb462c" /><Relationship Type="http://schemas.openxmlformats.org/officeDocument/2006/relationships/hyperlink" Target="https://blogs.nvidia.com/blog/bristol-myers-squibb-building-life-science-industrys-most-advanced-ai-factory-on-nvidia-vera-rubin/" TargetMode="External" Id="R8ba3aaee84224d3b" /><Relationship Type="http://schemas.openxmlformats.org/officeDocument/2006/relationships/hyperlink" Target="https://doi.org/10.1007/s11633-026-1662-9" TargetMode="External" Id="Rbb0f6fceeb894a5f"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6b7ecf7566e64e3a" /><Relationship Type="http://schemas.openxmlformats.org/officeDocument/2006/relationships/hyperlink" Target="https://www.gov.uk/government/publications/ai-research-resource" TargetMode="External" Id="Rdedcaf2d063c4cc7" /><Relationship Type="http://schemas.openxmlformats.org/officeDocument/2006/relationships/hyperlink" Target="https://epo.org/en/about-us/observatory-patents-and-technology/policy-and-funding/patents-and-standards" TargetMode="External" Id="Rac8cfe5495f84321" /><Relationship Type="http://schemas.openxmlformats.org/officeDocument/2006/relationships/hyperlink" Target="https://www.gov.uk/government/publications/improving-access-to-and-use-of-digital-services-open-letter-to-business-leaders" TargetMode="External" Id="R491193d6e6c748bb" /><Relationship Type="http://schemas.openxmlformats.org/officeDocument/2006/relationships/hyperlink" Target="https://www.gov.uk/government/publications/expression-of-interest-airr-heterogeneous-supercomputer-host-site-selection" TargetMode="External" Id="Ra2e3b4fd26914115" /><Relationship Type="http://schemas.openxmlformats.org/officeDocument/2006/relationships/hyperlink" Target="https://www.gov.uk/government/publications/fact-sheet-new-rules-to-protect-children-online" TargetMode="External" Id="R36dff384d7944234" /><Relationship Type="http://schemas.openxmlformats.org/officeDocument/2006/relationships/hyperlink" Target="https://www.energy.gov/science/articles/silencing-noise-doe-unveils-breakthrough-domestic-silicon-and-germanium-isotope" TargetMode="External" Id="Ra6d946cf89554d50" /><Relationship Type="http://schemas.openxmlformats.org/officeDocument/2006/relationships/hyperlink" Target="https://blogs.nvidia.com/blog/jetson-thor-robotics-edge-ai-agent/" TargetMode="External" Id="Rd2d0742092ef4bf6" /><Relationship Type="http://schemas.openxmlformats.org/officeDocument/2006/relationships/hyperlink" Target="https://cset.georgetown.edu/article/meet-gpt-red-an-llm-super-hacker-openai-built-to-make-its-models-safer/" TargetMode="External" Id="R2e539618fc6c4ade" /><Relationship Type="http://schemas.openxmlformats.org/officeDocument/2006/relationships/hyperlink" Target="https://openai.com/index/advancing-ai-safety-through-state-and-federal-action" TargetMode="External" Id="R78eaccc86064432f" /><Relationship Type="http://schemas.openxmlformats.org/officeDocument/2006/relationships/hyperlink" Target="https://openai.com/index/ai-clinical-copilot-penda-health" TargetMode="External" Id="R79df81785fad4157" /><Relationship Type="http://schemas.openxmlformats.org/officeDocument/2006/relationships/hyperlink" Target="https://www.nsf.gov/news/nsf-awards-12-new-regional-innovation-engines-fuel-research" TargetMode="External" Id="Rc9f748728dc6498e" /><Relationship Type="http://schemas.openxmlformats.org/officeDocument/2006/relationships/hyperlink" Target="https://doi.org/10.1088/1741-4326/ae773b" TargetMode="External" Id="Re7b03c71144d4790" /><Relationship Type="http://schemas.openxmlformats.org/officeDocument/2006/relationships/hyperlink" Target="https://news.samsung.com/global/samsung-begins-mass-production-of-pm1763-ssd-optimized-for-next-generation-ai-infrastructure" TargetMode="External" Id="R0f1da00a2a1145d6" /><Relationship Type="http://schemas.openxmlformats.org/officeDocument/2006/relationships/hyperlink" Target="https://www.nsf.gov/news/nsf-launches-project-triad-advance-quantum-technology-real" TargetMode="External" Id="R77f7b7837f574a14" /><Relationship Type="http://schemas.openxmlformats.org/officeDocument/2006/relationships/hyperlink" Target="https://www.microsoft.com/en-us/research/blog/memora-a-harmonic-memory-representation-balancing-abstraction-and-specificity/" TargetMode="External" Id="R570613f611054fbe" /><Relationship Type="http://schemas.openxmlformats.org/officeDocument/2006/relationships/hyperlink" Target="https://www.nist.gov/news-events/news/2026/06/nist-launches-center-drive-manufacture-quantum-technologies" TargetMode="External" Id="R71e7ff4029cc4dfa" /><Relationship Type="http://schemas.openxmlformats.org/officeDocument/2006/relationships/hyperlink" Target="https://www.nistep.go.jp/archives/63398/" TargetMode="External" Id="Ra2f9a4c89d0e4534" /><Relationship Type="http://schemas.openxmlformats.org/officeDocument/2006/relationships/hyperlink" Target="https://www.nistep.go.jp/archives/63333/" TargetMode="External" Id="Re7a16b9f2d84424f" /><Relationship Type="http://schemas.openxmlformats.org/officeDocument/2006/relationships/hyperlink" Target="https://www.energy.gov/science/articles/doe-strengthens-domestic-supply-chain-american-energy-and-manufacturing" TargetMode="External" Id="R43644f23840d4930" /><Relationship Type="http://schemas.openxmlformats.org/officeDocument/2006/relationships/hyperlink" Target="https://www.nistep.go.jp/archives/63155/" TargetMode="External" Id="R760e8b6d093f43c1" /><Relationship Type="http://schemas.openxmlformats.org/officeDocument/2006/relationships/hyperlink" Target="https://gov.uk/government/news/the-new-robot-helping-clean-up-sellafield" TargetMode="External" Id="R24615f55eca6431c" /><Relationship Type="http://schemas.openxmlformats.org/officeDocument/2006/relationships/hyperlink" Target="https://www.energy.gov/science/articles/energy-department-announces-initiative-create-and-deploy-worlds-first" TargetMode="External" Id="Ref1d8807faca4034" /><Relationship Type="http://schemas.openxmlformats.org/officeDocument/2006/relationships/hyperlink" Target="https://eic.ec.europa.eu/eic-funding-opportunities/eic-2026-work-programme_en" TargetMode="External" Id="R7b84550eb1044b54" /><Relationship Type="http://schemas.openxmlformats.org/officeDocument/2006/relationships/hyperlink" Target="https://nih.gov/common-fund/common-fund-programs/replication-enhance-research-impact-initiative" TargetMode="External" Id="R7999e8ad8cae4cae" /><Relationship Type="http://schemas.openxmlformats.org/officeDocument/2006/relationships/hyperlink" Target="https://www.iter.org/node/20687/around-world-one-assembly-line" TargetMode="External" Id="Rf886008bb7644e33" /><Relationship Type="http://schemas.openxmlformats.org/officeDocument/2006/relationships/hyperlink" Target="https://www.iter.org/node/20687/galloping-ahead-year-horse" TargetMode="External" Id="R19a903e75dc84a3e" /><Relationship Type="http://schemas.openxmlformats.org/officeDocument/2006/relationships/hyperlink" Target="https://www.iter.org/node/20687/iter-signs-agreement-russias-kurchatov-institute" TargetMode="External" Id="R8aad6ac61abb445b" /><Relationship Type="http://schemas.openxmlformats.org/officeDocument/2006/relationships/hyperlink" Target="https://openai.com/approach-to-patents" TargetMode="External" Id="Raa2ab93fa04f4232" /><Relationship Type="http://schemas.openxmlformats.org/officeDocument/2006/relationships/hyperlink" Target="https://www.energy.gov/articles/energy-department-releases-finalized-fusion-science-and-technology-roadmap-accelerate" TargetMode="External" Id="R11cc88a9d84a475c" /><Relationship Type="http://schemas.openxmlformats.org/officeDocument/2006/relationships/hyperlink" Target="https://www.nist.gov/news-events/news/2026/06/nist-mathematical-proof-supports-transition-continuous-monitor-and-update" TargetMode="External" Id="Rfb11ddec8cc54519" /><Relationship Type="http://schemas.openxmlformats.org/officeDocument/2006/relationships/hyperlink" Target="https://www.who.int/news/item/05-06-2026-africa-cdc-and-who-launch-joint-continental-ebola-response-plan" TargetMode="External" Id="Raee5d777e11146a6" /><Relationship Type="http://schemas.openxmlformats.org/officeDocument/2006/relationships/hyperlink" Target="https://www.nist.gov/news-events/news/2026/06/new-ai-model-shows-how-evacuate-fires-one-safe-step-time" TargetMode="External" Id="Re15d1e51b18140c6" /><Relationship Type="http://schemas.openxmlformats.org/officeDocument/2006/relationships/hyperlink" Target="https://www.nist.gov/news-events/news/2026/06/nist-researchers-discover-new-way-whisk-alloys-together-lasers" TargetMode="External" Id="R70051f4da4024546" /><Relationship Type="http://schemas.openxmlformats.org/officeDocument/2006/relationships/hyperlink" Target="https://newsroom.intel.com/pt/data-cente/intel-apresenta-controladores-e-adaptadores-de-rede-ethernet-e835-para-infraestruturas-corporativas-de-borda-e-telecomunicacoes" TargetMode="External" Id="R34aebffa71f84b07" /><Relationship Type="http://schemas.openxmlformats.org/officeDocument/2006/relationships/hyperlink" Target="https://doi.org/10.1038/s41586-026-10644-y" TargetMode="External" Id="R8022f14066f94578" /><Relationship Type="http://schemas.openxmlformats.org/officeDocument/2006/relationships/hyperlink" Target="https://www.nist.gov/news-events/news/2026/05/shooting-moon-ultrastable-lasers-dark-craters-could-enable-lunar-navigation" TargetMode="External" Id="R1f84b78481b04d37" /><Relationship Type="http://schemas.openxmlformats.org/officeDocument/2006/relationships/hyperlink" Target="https://www.nsf.gov/news/nsf-announces-15b-nsf-x-labs-initiative-pursue-generational" TargetMode="External" Id="Raa039a76c72a4cd5" /><Relationship Type="http://schemas.openxmlformats.org/officeDocument/2006/relationships/hyperlink" Target="https://www.nist.gov/news-events/news/2026/04/any-color-you-nist-scientists-create-any-wavelength-lasers-tiny-circuits" TargetMode="External" Id="R4924113e387f4a64" /><Relationship Type="http://schemas.openxmlformats.org/officeDocument/2006/relationships/hyperlink" Target="https://openai.com/academy/healthcare" TargetMode="External" Id="R64b3c65d35604164" /><Relationship Type="http://schemas.openxmlformats.org/officeDocument/2006/relationships/hyperlink" Target="https://english.www.gov.cn/news/202603/24/content_WS69c1edb6c6d00ca5f9a0a13c.html" TargetMode="External" Id="R5b74eb5f5f67468e" /><Relationship Type="http://schemas.openxmlformats.org/officeDocument/2006/relationships/hyperlink" Target="https://www.nist.gov/news-events/news/2026/03/nist-submits-annual-report-congress-summarizing-fy-2025-progress-national" TargetMode="External" Id="R579af74f3b3e4e5b" /><Relationship Type="http://schemas.openxmlformats.org/officeDocument/2006/relationships/hyperlink" Target="https://merics.org/en/comment/astrazenecas-rd-bet-makes-china-pharma-innovation-hub" TargetMode="External" Id="Rc089a19376ac4b23" /><Relationship Type="http://schemas.openxmlformats.org/officeDocument/2006/relationships/hyperlink" Target="https://www.wipo.int/web-publications/world-intellectual-property-report-2026/en/index.html" TargetMode="External" Id="R36dac4ed96574373" /><Relationship Type="http://schemas.openxmlformats.org/officeDocument/2006/relationships/hyperlink" Target="https://www.msit.go.kr/eng/bbs/view.do?bbsSeqNo=42&amp;mId=4&amp;nttSeqNo=1227&amp;sCode=eng" TargetMode="External" Id="Rb68aa988e532465b" /><Relationship Type="http://schemas.openxmlformats.org/officeDocument/2006/relationships/hyperlink" Target="https://www.nist.gov/news-events/news/2026/02/nist-allocates-over-3-million-small-businesses-advancing-ai-biotechnology" TargetMode="External" Id="R7cf88df5e43a4eb5" /><Relationship Type="http://schemas.openxmlformats.org/officeDocument/2006/relationships/hyperlink" Target="https://www.whitehouse.gov/presidential-actions/2025/11/launching-the-genesis-mission/" TargetMode="External" Id="Re7f13de69d7d49f1" /><Relationship Type="http://schemas.openxmlformats.org/officeDocument/2006/relationships/hyperlink" Target="https://www.gov.uk/government/news/more-targeted-rd-investment-towards-driving-uk-growth-and-jobs-unveiled-by-technology-secretary" TargetMode="External" Id="R2ac241f8c2f94588" /><Relationship Type="http://schemas.openxmlformats.org/officeDocument/2006/relationships/hyperlink" Target="https://www.gov.uk/government/publications/ai-for-science-strategy/ai-for-science-strategy" TargetMode="External" Id="R6098836fc4504c1d" /><Relationship Type="http://schemas.openxmlformats.org/officeDocument/2006/relationships/hyperlink" Target="https://www.irs.gov/irb/2025-38_IRB" TargetMode="External" Id="R03fbf0a9062048f2" /><Relationship Type="http://schemas.openxmlformats.org/officeDocument/2006/relationships/hyperlink" Target="https://english.www.gov.cn/policies/latestreleases/202508/27/content_WS68ae7976c6d0868f4e8f51a0.html" TargetMode="External" Id="Ra254d7c001134b43" /><Relationship Type="http://schemas.openxmlformats.org/officeDocument/2006/relationships/hyperlink" Target="https://www.nsf.gov/news/nsf-invest-new-national-network-ai-programmable-cloud" TargetMode="External" Id="R0e7923b227704076" /><Relationship Type="http://schemas.openxmlformats.org/officeDocument/2006/relationships/table" Target="/xl/tables/table1.xml" Id="Rdce2b244c89743e6" /></Relationships>
</file>

<file path=xl/worksheets/_rels/sheet3.xml.rels>&#65279;<?xml version="1.0" encoding="utf-8"?><Relationships xmlns="http://schemas.openxmlformats.org/package/2006/relationships"><Relationship Type="http://schemas.openxmlformats.org/officeDocument/2006/relationships/hyperlink" Target="https://www.bloomberg.com/feeds/technology/news.rss" TargetMode="External" Id="Re5c42c1c0ae5475a" /><Relationship Type="http://schemas.openxmlformats.org/officeDocument/2006/relationships/hyperlink" Target="https://www.bloomberg.com/technology" TargetMode="External" Id="R2f968556f92a494e" /><Relationship Type="http://schemas.openxmlformats.org/officeDocument/2006/relationships/hyperlink" Target="https://feeds.bbci.co.uk/news/science_and_environment/rss.xml" TargetMode="External" Id="R6cc295eb298542f3" /><Relationship Type="http://schemas.openxmlformats.org/officeDocument/2006/relationships/hyperlink" Target="https://www.bbc.com/news/science_and_environment" TargetMode="External" Id="R103a38dde6e440b5" /><Relationship Type="http://schemas.openxmlformats.org/officeDocument/2006/relationships/hyperlink" Target="https://feeds.bbci.co.uk/news/technology/rss.xml" TargetMode="External" Id="R34bc1d7f6086434c" /><Relationship Type="http://schemas.openxmlformats.org/officeDocument/2006/relationships/hyperlink" Target="https://www.bbc.com/news/technology" TargetMode="External" Id="R11d9c57c8af94ca6" /><Relationship Type="http://schemas.openxmlformats.org/officeDocument/2006/relationships/hyperlink" Target="https://rss.nytimes.com/services/xml/rss/nyt/Technology.xml" TargetMode="External" Id="Rdb71533863e44b0e" /><Relationship Type="http://schemas.openxmlformats.org/officeDocument/2006/relationships/hyperlink" Target="https://www.nytimes.com/section/technology" TargetMode="External" Id="Rd0492057ed484c8f" /><Relationship Type="http://schemas.openxmlformats.org/officeDocument/2006/relationships/hyperlink" Target="https://rss.nytimes.com/services/xml/rss/nyt/Science.xml" TargetMode="External" Id="R572a376cbcff4be4" /><Relationship Type="http://schemas.openxmlformats.org/officeDocument/2006/relationships/hyperlink" Target="https://www.nytimes.com/section/science" TargetMode="External" Id="R60da5ca748f74424" /><Relationship Type="http://schemas.openxmlformats.org/officeDocument/2006/relationships/hyperlink" Target="https://www.nistep.go.jp/feed" TargetMode="External" Id="Rc5975e88c6224b40" /><Relationship Type="http://schemas.openxmlformats.org/officeDocument/2006/relationships/hyperlink" Target="https://www.nistep.go.jp/" TargetMode="External" Id="R2f66cd86fdf344cc" /><Relationship Type="http://schemas.openxmlformats.org/officeDocument/2006/relationships/hyperlink" Target="https://www.theguardian.com/technology/rss" TargetMode="External" Id="Rcc2e2c8310544d14" /><Relationship Type="http://schemas.openxmlformats.org/officeDocument/2006/relationships/hyperlink" Target="https://www.theguardian.com/technology" TargetMode="External" Id="R72e47a8a6c7b4b78" /><Relationship Type="http://schemas.openxmlformats.org/officeDocument/2006/relationships/hyperlink" Target="https://www.technologyreview.com/feed/" TargetMode="External" Id="Ra38a494dad924ad3" /><Relationship Type="http://schemas.openxmlformats.org/officeDocument/2006/relationships/hyperlink" Target="https://www.technologyreview.com/" TargetMode="External" Id="R5d7722b1f45845a7" /><Relationship Type="http://schemas.openxmlformats.org/officeDocument/2006/relationships/hyperlink" Target="https://spectrum.ieee.org/feeds/feed.rss" TargetMode="External" Id="R2c81fd2f41734003" /><Relationship Type="http://schemas.openxmlformats.org/officeDocument/2006/relationships/hyperlink" Target="https://spectrum.ieee.org/" TargetMode="External" Id="Rcb82baf8e9f64f0d" /><Relationship Type="http://schemas.openxmlformats.org/officeDocument/2006/relationships/hyperlink" Target="https://www.nature.com/nature.rss" TargetMode="External" Id="R28d5ee261fbc4121" /><Relationship Type="http://schemas.openxmlformats.org/officeDocument/2006/relationships/hyperlink" Target="https://www.nature.com/" TargetMode="External" Id="Rc5134036ac4c45fe" /><Relationship Type="http://schemas.openxmlformats.org/officeDocument/2006/relationships/hyperlink" Target="https://www.science.org/action/showFeed?type=etoc&amp;feed=rss&amp;jc=science" TargetMode="External" Id="R5eb02ced64c64dac" /><Relationship Type="http://schemas.openxmlformats.org/officeDocument/2006/relationships/hyperlink" Target="https://www.science.org/" TargetMode="External" Id="R215b13098ff947dc" /><Relationship Type="http://schemas.openxmlformats.org/officeDocument/2006/relationships/hyperlink" Target="https://www.scmp.com/rss/36/feed" TargetMode="External" Id="R99e5cf77120b4951" /><Relationship Type="http://schemas.openxmlformats.org/officeDocument/2006/relationships/hyperlink" Target="https://www.scmp.com/tech" TargetMode="External" Id="R8cd846e0f1144b44" /><Relationship Type="http://schemas.openxmlformats.org/officeDocument/2006/relationships/hyperlink" Target="https://www.arabnews.com/taxonomy/term/2936/feed" TargetMode="External" Id="R1f40b3bf570b42e7" /><Relationship Type="http://schemas.openxmlformats.org/officeDocument/2006/relationships/hyperlink" Target="https://www.arabnews.com/tags/technology" TargetMode="External" Id="R9fc91cd9fc0f48ca" /><Relationship Type="http://schemas.openxmlformats.org/officeDocument/2006/relationships/hyperlink" Target="https://www.thenationalnews.com/arc/outboundfeeds/rss/category/future/technology/?outputType=xml" TargetMode="External" Id="R2ac10f31fb27442a" /><Relationship Type="http://schemas.openxmlformats.org/officeDocument/2006/relationships/hyperlink" Target="https://www.thenationalnews.com/future/technology/" TargetMode="External" Id="Red3fb85530774fff" /><Relationship Type="http://schemas.openxmlformats.org/officeDocument/2006/relationships/hyperlink" Target="https://www.brookings.edu/tags/techtank/" TargetMode="External" Id="R2b5d78a4373545e0" /><Relationship Type="http://schemas.openxmlformats.org/officeDocument/2006/relationships/hyperlink" Target="https://www.brookings.edu/tags/techtank/" TargetMode="External" Id="R5dba17b827834b52" /><Relationship Type="http://schemas.openxmlformats.org/officeDocument/2006/relationships/hyperlink" Target="https://www.csis.org/rss.xml" TargetMode="External" Id="R69ade0a8df644486" /><Relationship Type="http://schemas.openxmlformats.org/officeDocument/2006/relationships/hyperlink" Target="https://www.csis.org/analysis" TargetMode="External" Id="Rc12787e1673d4429" /><Relationship Type="http://schemas.openxmlformats.org/officeDocument/2006/relationships/hyperlink" Target="https://cset.georgetown.edu/feed/" TargetMode="External" Id="R2be8a341fa644c18" /><Relationship Type="http://schemas.openxmlformats.org/officeDocument/2006/relationships/hyperlink" Target="https://cset.georgetown.edu/" TargetMode="External" Id="R1a7ffd5c856e4b85" /><Relationship Type="http://schemas.openxmlformats.org/officeDocument/2006/relationships/hyperlink" Target="https://www.bruegel.org/rss.xml" TargetMode="External" Id="R80366fc620f84811" /><Relationship Type="http://schemas.openxmlformats.org/officeDocument/2006/relationships/hyperlink" Target="https://www.bruegel.org/" TargetMode="External" Id="Re520fcc070e245bb" /><Relationship Type="http://schemas.openxmlformats.org/officeDocument/2006/relationships/hyperlink" Target="https://merics.org/en/rss.xml" TargetMode="External" Id="R64e16e503e644de1" /><Relationship Type="http://schemas.openxmlformats.org/officeDocument/2006/relationships/hyperlink" Target="https://merics.org/en" TargetMode="External" Id="Rb900d40b4917437e" /><Relationship Type="http://schemas.openxmlformats.org/officeDocument/2006/relationships/hyperlink" Target="https://www.nsf.gov/rss/rss_www_news.xml" TargetMode="External" Id="R7e52d9f901544c5d" /><Relationship Type="http://schemas.openxmlformats.org/officeDocument/2006/relationships/hyperlink" Target="https://www.nsf.gov/news" TargetMode="External" Id="R803bb1d16d2e43c0" /><Relationship Type="http://schemas.openxmlformats.org/officeDocument/2006/relationships/hyperlink" Target="https://www.nist.gov/news-events/news/rss.xml" TargetMode="External" Id="R5c8ed6ed7a034034" /><Relationship Type="http://schemas.openxmlformats.org/officeDocument/2006/relationships/hyperlink" Target="https://www.nist.gov/news-events/news" TargetMode="External" Id="R777a1392f58b4836" /><Relationship Type="http://schemas.openxmlformats.org/officeDocument/2006/relationships/hyperlink" Target="https://www.nih.gov/news-events/news-releases/rss.xml" TargetMode="External" Id="Rcafd96cfa99b4490" /><Relationship Type="http://schemas.openxmlformats.org/officeDocument/2006/relationships/hyperlink" Target="https://www.nih.gov/news-events/news-releases" TargetMode="External" Id="R5c12f668667c48ff" /><Relationship Type="http://schemas.openxmlformats.org/officeDocument/2006/relationships/hyperlink" Target="https://www.energy.gov/rss/science/3662436" TargetMode="External" Id="R6eefdf4ecaf048a8" /><Relationship Type="http://schemas.openxmlformats.org/officeDocument/2006/relationships/hyperlink" Target="https://www.energy.gov/science/listings/office-science-news" TargetMode="External" Id="R1ef2b99f15884eb7" /><Relationship Type="http://schemas.openxmlformats.org/officeDocument/2006/relationships/hyperlink" Target="https://ec.europa.eu/commission/presscorner/api/rss?language=en&amp;documenttype=press_release" TargetMode="External" Id="Rcd4e51736e994ce8" /><Relationship Type="http://schemas.openxmlformats.org/officeDocument/2006/relationships/hyperlink" Target="https://ec.europa.eu/commission/presscorner/home/en" TargetMode="External" Id="Rd742f66351ec440d" /><Relationship Type="http://schemas.openxmlformats.org/officeDocument/2006/relationships/hyperlink" Target="https://www.gov.uk/government/organisations/department-for-science-innovation-and-technology.atom" TargetMode="External" Id="R7fa8cacc06a44171" /><Relationship Type="http://schemas.openxmlformats.org/officeDocument/2006/relationships/hyperlink" Target="https://www.gov.uk/government/organisations/department-for-science-innovation-and-technology" TargetMode="External" Id="Rdad7778b59cd48d5" /><Relationship Type="http://schemas.openxmlformats.org/officeDocument/2006/relationships/hyperlink" Target="https://www.meti.go.jp/english/press/index.rdf" TargetMode="External" Id="R1a134c5f6f094c66" /><Relationship Type="http://schemas.openxmlformats.org/officeDocument/2006/relationships/hyperlink" Target="https://www.meti.go.jp/english/press/index.html" TargetMode="External" Id="Red76db8f472a4b18" /><Relationship Type="http://schemas.openxmlformats.org/officeDocument/2006/relationships/hyperlink" Target="https://www.who.int/rss-feeds/news-english.xml" TargetMode="External" Id="R66af9d6605df4169" /><Relationship Type="http://schemas.openxmlformats.org/officeDocument/2006/relationships/hyperlink" Target="https://www.who.int/news" TargetMode="External" Id="R7e851963f0524c07" /><Relationship Type="http://schemas.openxmlformats.org/officeDocument/2006/relationships/hyperlink" Target="https://www.iea.org/rss/news.xml" TargetMode="External" Id="Ra75d13c4f5e6445f" /><Relationship Type="http://schemas.openxmlformats.org/officeDocument/2006/relationships/hyperlink" Target="https://www.iea.org/news" TargetMode="External" Id="R8468e2b38b12453b" /><Relationship Type="http://schemas.openxmlformats.org/officeDocument/2006/relationships/hyperlink" Target="https://www.oecd.org/newsroom/rss.xml" TargetMode="External" Id="Rf8c0eae48be34672" /><Relationship Type="http://schemas.openxmlformats.org/officeDocument/2006/relationships/hyperlink" Target="https://www.oecd.org/newsroom/" TargetMode="External" Id="R40c908e67daa4988" /><Relationship Type="http://schemas.openxmlformats.org/officeDocument/2006/relationships/hyperlink" Target="https://openai.com/news/rss.xml" TargetMode="External" Id="R3deba669a0e5462a" /><Relationship Type="http://schemas.openxmlformats.org/officeDocument/2006/relationships/hyperlink" Target="https://openai.com/news/" TargetMode="External" Id="R28a5d45cecfb435f" /><Relationship Type="http://schemas.openxmlformats.org/officeDocument/2006/relationships/hyperlink" Target="https://blog.google/technology/ai/rss/" TargetMode="External" Id="Reeb7b4f3d1144167" /><Relationship Type="http://schemas.openxmlformats.org/officeDocument/2006/relationships/hyperlink" Target="https://blog.google/technology/ai/" TargetMode="External" Id="Rb54e21af05a74954" /><Relationship Type="http://schemas.openxmlformats.org/officeDocument/2006/relationships/hyperlink" Target="https://blogs.nvidia.com/feed/" TargetMode="External" Id="Rc98c8034840142ff" /><Relationship Type="http://schemas.openxmlformats.org/officeDocument/2006/relationships/hyperlink" Target="https://blogs.nvidia.com/" TargetMode="External" Id="Rc9fdca010533456b" /><Relationship Type="http://schemas.openxmlformats.org/officeDocument/2006/relationships/hyperlink" Target="https://newsroom.intel.com/feed" TargetMode="External" Id="R3c287f5ed29048fb" /><Relationship Type="http://schemas.openxmlformats.org/officeDocument/2006/relationships/hyperlink" Target="https://newsroom.intel.com/" TargetMode="External" Id="R7c64290d60b244c4" /><Relationship Type="http://schemas.openxmlformats.org/officeDocument/2006/relationships/hyperlink" Target="https://research.ibm.com/blog/rss.xml" TargetMode="External" Id="R7e5579255e0844f2" /><Relationship Type="http://schemas.openxmlformats.org/officeDocument/2006/relationships/hyperlink" Target="https://research.ibm.com/blog" TargetMode="External" Id="Rcc30037e007f4b3d" /><Relationship Type="http://schemas.openxmlformats.org/officeDocument/2006/relationships/hyperlink" Target="https://www.microsoft.com/en-us/research/feed/" TargetMode="External" Id="R8fa48a93ae9f4503" /><Relationship Type="http://schemas.openxmlformats.org/officeDocument/2006/relationships/hyperlink" Target="https://www.microsoft.com/en-us/research/blog/" TargetMode="External" Id="R10438bc317e04353" /><Relationship Type="http://schemas.openxmlformats.org/officeDocument/2006/relationships/hyperlink" Target="https://news.samsung.com/global/feed" TargetMode="External" Id="Rbc8d46c3433d40d5" /><Relationship Type="http://schemas.openxmlformats.org/officeDocument/2006/relationships/hyperlink" Target="https://news.samsung.com/global/" TargetMode="External" Id="R3f189240915e4f55" /><Relationship Type="http://schemas.openxmlformats.org/officeDocument/2006/relationships/hyperlink" Target="https://www.iter.org/news" TargetMode="External" Id="Rd3bdd7a7a01e47d6" /><Relationship Type="http://schemas.openxmlformats.org/officeDocument/2006/relationships/hyperlink" Target="https://www.iter.org/news" TargetMode="External" Id="R8308b62543cd41b0" /><Relationship Type="http://schemas.openxmlformats.org/officeDocument/2006/relationships/hyperlink" Target="https://www.fusionindustryassociation.org/feed/" TargetMode="External" Id="R6eac7b605b6c474f" /><Relationship Type="http://schemas.openxmlformats.org/officeDocument/2006/relationships/hyperlink" Target="https://www.fusionindustryassociation.org/" TargetMode="External" Id="R55c22971ded64558" /><Relationship Type="http://schemas.openxmlformats.org/officeDocument/2006/relationships/hyperlink" Target="https://www8.cao.go.jp/cstp/tougosenryaku/index.html" TargetMode="External" Id="R12bcf3c2e5fa4b58" /><Relationship Type="http://schemas.openxmlformats.org/officeDocument/2006/relationships/hyperlink" Target="https://www8.cao.go.jp/cstp/tougosenryaku/index.html" TargetMode="External" Id="R90b99ad1bc7841de" /><Relationship Type="http://schemas.openxmlformats.org/officeDocument/2006/relationships/hyperlink" Target="https://www.cas.go.jp/jp/seisakukaigi/titeki2/" TargetMode="External" Id="R49d23da1a9624c94" /><Relationship Type="http://schemas.openxmlformats.org/officeDocument/2006/relationships/hyperlink" Target="https://www.cas.go.jp/jp/seisakukaigi/titeki2/" TargetMode="External" Id="Re0cda6d5bcc94816" /><Relationship Type="http://schemas.openxmlformats.org/officeDocument/2006/relationships/hyperlink" Target="https://www.jst.go.jp/crds/report/by-category/05/index.html" TargetMode="External" Id="R92d2a7925e4e4ef3" /><Relationship Type="http://schemas.openxmlformats.org/officeDocument/2006/relationships/hyperlink" Target="https://www.jst.go.jp/crds/" TargetMode="External" Id="R8f27b08bab0a42f7" /><Relationship Type="http://schemas.openxmlformats.org/officeDocument/2006/relationships/hyperlink" Target="https://www.whitehouse.gov/ostp/news/" TargetMode="External" Id="Rea4dec90fe624be8" /><Relationship Type="http://schemas.openxmlformats.org/officeDocument/2006/relationships/hyperlink" Target="https://www.whitehouse.gov/ostp/" TargetMode="External" Id="R0e7c719f8eb6464e" /><Relationship Type="http://schemas.openxmlformats.org/officeDocument/2006/relationships/hyperlink" Target="https://www.wipo.int/pressroom/en/articles/archive.html" TargetMode="External" Id="R043407e9379645e1" /><Relationship Type="http://schemas.openxmlformats.org/officeDocument/2006/relationships/hyperlink" Target="https://www.wipo.int/pressroom/en/" TargetMode="External" Id="R1989a0ca56f14912" /><Relationship Type="http://schemas.openxmlformats.org/officeDocument/2006/relationships/hyperlink" Target="https://www.epo.org/en/news-events/news/feed" TargetMode="External" Id="Rbdcaa49c81bd4e17" /><Relationship Type="http://schemas.openxmlformats.org/officeDocument/2006/relationships/hyperlink" Target="https://www.epo.org/en/news-events/news" TargetMode="External" Id="Rd35e876a80ee46a0" /><Relationship Type="http://schemas.openxmlformats.org/officeDocument/2006/relationships/hyperlink" Target="https://www.nsf.gov/news" TargetMode="External" Id="R4b42798d205f492c" /><Relationship Type="http://schemas.openxmlformats.org/officeDocument/2006/relationships/hyperlink" Target="https://www.nsf.gov/news" TargetMode="External" Id="Ra18156401edc4cac" /><Relationship Type="http://schemas.openxmlformats.org/officeDocument/2006/relationships/hyperlink" Target="https://www.whitehouse.gov/ostp/news/" TargetMode="External" Id="Rca7c1918681c42af" /><Relationship Type="http://schemas.openxmlformats.org/officeDocument/2006/relationships/hyperlink" Target="https://www.whitehouse.gov/ostp/" TargetMode="External" Id="Rf1bc576a577a4dd9" /><Relationship Type="http://schemas.openxmlformats.org/officeDocument/2006/relationships/hyperlink" Target="https://www.irs.gov/irb/2025-38_IRB" TargetMode="External" Id="Rbc87f6325f834993" /><Relationship Type="http://schemas.openxmlformats.org/officeDocument/2006/relationships/hyperlink" Target="https://www.irs.gov/" TargetMode="External" Id="R12a842a650c04757" /><Relationship Type="http://schemas.openxmlformats.org/officeDocument/2006/relationships/hyperlink" Target="https://www.gov.uk/government/organisations/department-for-science-innovation-and-technology" TargetMode="External" Id="R2158f5a769bb44b4" /><Relationship Type="http://schemas.openxmlformats.org/officeDocument/2006/relationships/hyperlink" Target="https://www.gov.uk/government/organisations/department-for-science-innovation-and-technology" TargetMode="External" Id="R5e67a1fabfb4424f" /><Relationship Type="http://schemas.openxmlformats.org/officeDocument/2006/relationships/hyperlink" Target="https://english.www.gov.cn/policies/" TargetMode="External" Id="R74a1065bec1b4033" /><Relationship Type="http://schemas.openxmlformats.org/officeDocument/2006/relationships/hyperlink" Target="https://english.www.gov.cn/" TargetMode="External" Id="R8480d9c1009f4042" /><Relationship Type="http://schemas.openxmlformats.org/officeDocument/2006/relationships/hyperlink" Target="https://www.msit.go.kr/eng/bbs/list.do?bbsSeqNo=42&amp;mId=4" TargetMode="External" Id="Reef04a0ba5cb4567" /><Relationship Type="http://schemas.openxmlformats.org/officeDocument/2006/relationships/hyperlink" Target="https://www.msit.go.kr/eng/" TargetMode="External" Id="R9819507ac1f54301" /><Relationship Type="http://schemas.openxmlformats.org/officeDocument/2006/relationships/hyperlink" Target="https://eic.ec.europa.eu/eic-funding-opportunities/eic-2026-work-programme_en" TargetMode="External" Id="R00e896ddeb014758" /><Relationship Type="http://schemas.openxmlformats.org/officeDocument/2006/relationships/hyperlink" Target="https://eic.ec.europa.eu/" TargetMode="External" Id="Rbd0c3ec469ea49ae" /><Relationship Type="http://schemas.openxmlformats.org/officeDocument/2006/relationships/hyperlink" Target="https://www.wipo.int/web-publications/world-intellectual-property-report-2026/en/index.html" TargetMode="External" Id="R1f78cf88af9d495f" /><Relationship Type="http://schemas.openxmlformats.org/officeDocument/2006/relationships/hyperlink" Target="https://www.wipo.int/en/web/world-ip-report" TargetMode="External" Id="R2af89780e851446c" /><Relationship Type="http://schemas.openxmlformats.org/officeDocument/2006/relationships/hyperlink" Target="https://api.openalex.org/works" TargetMode="External" Id="Ra435520d827a4f47" /><Relationship Type="http://schemas.openxmlformats.org/officeDocument/2006/relationships/hyperlink" Target="https://openalex.org/" TargetMode="External" Id="Radc3ea1dca7949ea" /><Relationship Type="http://schemas.openxmlformats.org/officeDocument/2006/relationships/hyperlink" Target="https://api.openalex.org/works" TargetMode="External" Id="R3a3cc821ec8444b2" /><Relationship Type="http://schemas.openxmlformats.org/officeDocument/2006/relationships/hyperlink" Target="https://openalex.org/" TargetMode="External" Id="R1316bef565b941c6" /><Relationship Type="http://schemas.openxmlformats.org/officeDocument/2006/relationships/hyperlink" Target="https://api.openalex.org/works" TargetMode="External" Id="R4af4201fea5a4ee4" /><Relationship Type="http://schemas.openxmlformats.org/officeDocument/2006/relationships/hyperlink" Target="https://openalex.org/" TargetMode="External" Id="Rfbe8a2e31b5b4104" /><Relationship Type="http://schemas.openxmlformats.org/officeDocument/2006/relationships/table" Target="/xl/tables/table2.xml" Id="Rf2ceab26d01149db" /></Relationships>
</file>

<file path=xl/worksheets/_rels/sheet4.xml.rels>&#65279;<?xml version="1.0" encoding="utf-8"?><Relationships xmlns="http://schemas.openxmlformats.org/package/2006/relationships"><Relationship Type="http://schemas.openxmlformats.org/officeDocument/2006/relationships/table" Target="/xl/tables/table3.xml" Id="R81ab2041ef3d4a4b" /></Relationships>
</file>

<file path=xl/worksheets/sheet1.xml><?xml version="1.0" encoding="utf-8"?>
<x:worksheet xmlns:x="http://schemas.openxmlformats.org/spreadsheetml/2006/main">
  <x:sheetViews>
    <x:sheetView showGridLines="0" workbookViewId="0"/>
  </x:sheetViews>
  <x:sheetFormatPr baseColWidth="8" defaultRowHeight="15"/>
  <x:cols>
    <x:col min="1" max="1" width="22" customWidth="1"/>
    <x:col min="2" max="2" width="16" customWidth="1"/>
    <x:col min="3" max="3" width="3" customWidth="1"/>
    <x:col min="4" max="4" width="24" customWidth="1"/>
    <x:col min="5" max="5" width="12" customWidth="1"/>
    <x:col min="6" max="6" width="3" customWidth="1"/>
    <x:col min="7" max="7" width="30" customWidth="1"/>
    <x:col min="8" max="8" width="12" customWidth="1"/>
  </x:cols>
  <x:sheetData>
    <x:row r="1" ht="34" customHeight="1">
      <x:c r="A1" s="4" t="inlineStr">
        <x:is>
          <x:t xml:space="preserve">World Innovation Brief</x:t>
        </x:is>
      </x:c>
    </x:row>
    <x:row r="2" ht="25" customHeight="1">
      <x:c r="A2" s="67" t="inlineStr">
        <x:is>
          <x:t xml:space="preserve">Global innovation policy and emerging-technology ledger</x:t>
        </x:is>
      </x:c>
      <x:c r="B2" s="68" t="n"/>
      <x:c r="C2" s="68" t="n"/>
      <x:c r="D2" s="68" t="n"/>
      <x:c r="E2" s="68" t="n"/>
      <x:c r="F2" s="68" t="n"/>
      <x:c r="G2" s="68" t="n"/>
      <x:c r="H2" s="69" t="n"/>
    </x:row>
    <x:row r="3">
      <x:c r="A3" s="46" t="n"/>
      <x:c r="B3" s="46" t="n"/>
      <x:c r="C3" s="46" t="n"/>
      <x:c r="D3" s="46" t="n"/>
      <x:c r="E3" s="46" t="n"/>
      <x:c r="F3" s="46" t="n"/>
      <x:c r="G3" s="46" t="n"/>
      <x:c r="H3" s="46" t="n"/>
    </x:row>
    <x:row r="4" ht="26" customHeight="1">
      <x:c r="A4" s="19" t="inlineStr">
        <x:is>
          <x:t xml:space="preserve">Operations</x:t>
        </x:is>
      </x:c>
      <x:c r="C4" s="46" t="n"/>
      <x:c r="D4" s="19" t="inlineStr">
        <x:is>
          <x:t xml:space="preserve">By region</x:t>
        </x:is>
      </x:c>
      <x:c r="F4" s="46" t="n"/>
      <x:c r="G4" s="19" t="inlineStr">
        <x:is>
          <x:t xml:space="preserve">By topic</x:t>
        </x:is>
      </x:c>
    </x:row>
    <x:row r="5">
      <x:c r="A5" s="28" t="inlineStr">
        <x:is>
          <x:t xml:space="preserve">Last update (JST)</x:t>
        </x:is>
      </x:c>
      <x:c r="B5" s="25" t="inlineStr">
        <x:is>
          <x:t xml:space="preserve">2026-07-26T22:54:37+09:00</x:t>
        </x:is>
      </x:c>
      <x:c r="C5" s="46" t="n"/>
      <x:c r="D5" s="25" t="inlineStr">
        <x:is>
          <x:t xml:space="preserve">United States</x:t>
        </x:is>
      </x:c>
      <x:c r="E5" s="70" t="n">
        <x:f>COUNTIF('News Ledger'!$C$4:$C$10003,D5)</x:f>
        <x:v>34</x:v>
      </x:c>
      <x:c r="F5" s="46" t="n"/>
      <x:c r="G5" s="25" t="inlineStr">
        <x:is>
          <x:t xml:space="preserve">Innovation Policy</x:t>
        </x:is>
      </x:c>
      <x:c r="H5" s="70" t="n">
        <x:f>COUNTIF('News Ledger'!$E$4:$E$10003,"*Innovation Policy*")</x:f>
        <x:v>0</x:v>
      </x:c>
    </x:row>
    <x:row r="6">
      <x:c r="A6" s="29" t="inlineStr">
        <x:is>
          <x:t xml:space="preserve">Ledger articles</x:t>
        </x:is>
      </x:c>
      <x:c r="B6" s="71" t="n">
        <x:f>COUNTA('News Ledger'!$I$4:$I$10003)</x:f>
        <x:v>91</x:v>
      </x:c>
      <x:c r="C6" s="46" t="n"/>
      <x:c r="D6" s="26" t="inlineStr">
        <x:is>
          <x:t xml:space="preserve">Asia</x:t>
        </x:is>
      </x:c>
      <x:c r="E6" s="72" t="n">
        <x:f>COUNTIF('News Ledger'!$C$4:$C$10003,D6)</x:f>
        <x:v>8</x:v>
      </x:c>
      <x:c r="F6" s="46" t="n"/>
      <x:c r="G6" s="26" t="inlineStr">
        <x:is>
          <x:t xml:space="preserve">Artificial Intelligence</x:t>
        </x:is>
      </x:c>
      <x:c r="H6" s="72" t="n">
        <x:f>COUNTIF('News Ledger'!$E$4:$E$10003,"*Artificial Intelligence*")</x:f>
        <x:v>0</x:v>
      </x:c>
    </x:row>
    <x:row r="7">
      <x:c r="A7" s="29" t="inlineStr">
        <x:is>
          <x:t xml:space="preserve">Policy score 3+</x:t>
        </x:is>
      </x:c>
      <x:c r="B7" s="71" t="n">
        <x:f>COUNTIF('News Ledger'!$F$4:$F$10003,"&gt;=3")</x:f>
        <x:v>51</x:v>
      </x:c>
      <x:c r="C7" s="46" t="n"/>
      <x:c r="D7" s="26" t="inlineStr">
        <x:is>
          <x:t xml:space="preserve">EU &amp; Europe</x:t>
        </x:is>
      </x:c>
      <x:c r="E7" s="72" t="n">
        <x:f>COUNTIF('News Ledger'!$C$4:$C$10003,D7)</x:f>
        <x:v>20</x:v>
      </x:c>
      <x:c r="F7" s="46" t="n"/>
      <x:c r="G7" s="26" t="inlineStr">
        <x:is>
          <x:t xml:space="preserve">Robotics</x:t>
        </x:is>
      </x:c>
      <x:c r="H7" s="72" t="n">
        <x:f>COUNTIF('News Ledger'!$E$4:$E$10003,"*Robotics*")</x:f>
        <x:v>0</x:v>
      </x:c>
    </x:row>
    <x:row r="8">
      <x:c r="A8" s="30" t="inlineStr">
        <x:is>
          <x:t xml:space="preserve">Active sources</x:t>
        </x:is>
      </x:c>
      <x:c r="B8" s="71" t="n">
        <x:f>COUNTIF('Source Registry'!$A$4:$A$10003,"Yes")</x:f>
        <x:v>259</x:v>
      </x:c>
      <x:c r="C8" s="46" t="n"/>
      <x:c r="D8" s="26" t="inlineStr">
        <x:is>
          <x:t xml:space="preserve">Middle East</x:t>
        </x:is>
      </x:c>
      <x:c r="E8" s="72" t="n">
        <x:f>COUNTIF('News Ledger'!$C$4:$C$10003,D8)</x:f>
        <x:v>0</x:v>
      </x:c>
      <x:c r="F8" s="46" t="n"/>
      <x:c r="G8" s="26" t="inlineStr">
        <x:is>
          <x:t xml:space="preserve">Semiconductors &amp; Telecom</x:t>
        </x:is>
      </x:c>
      <x:c r="H8" s="72" t="n">
        <x:f>COUNTIF('News Ledger'!$E$4:$E$10003,"*Semiconductors &amp; Telecom*")</x:f>
        <x:v>0</x:v>
      </x:c>
    </x:row>
    <x:row r="9">
      <x:c r="A9" s="46" t="n"/>
      <x:c r="B9" s="46" t="n"/>
      <x:c r="C9" s="46" t="n"/>
      <x:c r="D9" s="27" t="inlineStr">
        <x:is>
          <x:t xml:space="preserve">Global</x:t>
        </x:is>
      </x:c>
      <x:c r="E9" s="73" t="n">
        <x:f>COUNTIF('News Ledger'!$C$4:$C$10003,D9)</x:f>
        <x:v>29</x:v>
      </x:c>
      <x:c r="F9" s="46" t="n"/>
      <x:c r="G9" s="26" t="inlineStr">
        <x:is>
          <x:t xml:space="preserve">Quantum</x:t>
        </x:is>
      </x:c>
      <x:c r="H9" s="72" t="n">
        <x:f>COUNTIF('News Ledger'!$E$4:$E$10003,"*Quantum*")</x:f>
        <x:v>0</x:v>
      </x:c>
    </x:row>
    <x:row r="10">
      <x:c r="A10" s="46" t="n"/>
      <x:c r="B10" s="46" t="n"/>
      <x:c r="C10" s="46" t="n"/>
      <x:c r="D10" s="46" t="n"/>
      <x:c r="E10" s="46" t="n"/>
      <x:c r="F10" s="46" t="n"/>
      <x:c r="G10" s="26" t="inlineStr">
        <x:is>
          <x:t xml:space="preserve">Fusion Energy</x:t>
        </x:is>
      </x:c>
      <x:c r="H10" s="72" t="n">
        <x:f>COUNTIF('News Ledger'!$E$4:$E$10003,"*Fusion Energy*")</x:f>
        <x:v>0</x:v>
      </x:c>
    </x:row>
    <x:row r="11">
      <x:c r="A11" s="46" t="n"/>
      <x:c r="B11" s="46" t="n"/>
      <x:c r="C11" s="46" t="n"/>
      <x:c r="D11" s="46" t="n"/>
      <x:c r="E11" s="46" t="n"/>
      <x:c r="F11" s="46" t="n"/>
      <x:c r="G11" s="26" t="inlineStr">
        <x:is>
          <x:t xml:space="preserve">Biotechnology</x:t>
        </x:is>
      </x:c>
      <x:c r="H11" s="72" t="n">
        <x:f>COUNTIF('News Ledger'!$E$4:$E$10003,"*Biotechnology*")</x:f>
        <x:v>0</x:v>
      </x:c>
    </x:row>
    <x:row r="12">
      <x:c r="A12" s="46" t="n"/>
      <x:c r="B12" s="46" t="n"/>
      <x:c r="C12" s="46" t="n"/>
      <x:c r="D12" s="46" t="n"/>
      <x:c r="E12" s="46" t="n"/>
      <x:c r="F12" s="46" t="n"/>
      <x:c r="G12" s="27" t="inlineStr">
        <x:is>
          <x:t xml:space="preserve">Healthcare</x:t>
        </x:is>
      </x:c>
      <x:c r="H12" s="73" t="n">
        <x:f>COUNTIF('News Ledger'!$E$4:$E$10003,"*Healthcare*")</x:f>
        <x:v>0</x:v>
      </x:c>
    </x:row>
    <x:row r="13">
      <x:c r="A13" s="46" t="n"/>
      <x:c r="B13" s="46" t="n"/>
      <x:c r="C13" s="46" t="n"/>
      <x:c r="D13" s="46" t="n"/>
      <x:c r="E13" s="46" t="n"/>
      <x:c r="F13" s="46" t="n"/>
      <x:c r="G13" s="46" t="n"/>
      <x:c r="H13" s="46" t="n"/>
    </x:row>
    <x:row r="14" ht="26" customHeight="1">
      <x:c r="A14" s="43" t="inlineStr">
        <x:is>
          <x:t xml:space="preserve">How to use this ledger</x:t>
        </x:is>
      </x:c>
    </x:row>
    <x:row r="15" ht="28" customHeight="1">
      <x:c r="A15" s="45" t="inlineStr">
        <x:is>
          <x:t xml:space="preserve">1. Filter News Ledger by region, topic, and source; verify details at the original URL.</x:t>
        </x:is>
      </x:c>
      <x:c r="B15" s="74" t="n"/>
      <x:c r="C15" s="74" t="n"/>
      <x:c r="D15" s="74" t="n"/>
      <x:c r="E15" s="74" t="n"/>
      <x:c r="F15" s="74" t="n"/>
      <x:c r="G15" s="74" t="n"/>
      <x:c r="H15" s="74" t="n"/>
    </x:row>
    <x:row r="16" ht="28" customHeight="1">
      <x:c r="A16" s="45" t="inlineStr">
        <x:is>
          <x:t xml:space="preserve">2. Policy relevance is scored 0–5 from source type and policy terms.</x:t>
        </x:is>
      </x:c>
      <x:c r="B16" s="74" t="n"/>
      <x:c r="C16" s="74" t="n"/>
      <x:c r="D16" s="74" t="n"/>
      <x:c r="E16" s="74" t="n"/>
      <x:c r="F16" s="74" t="n"/>
      <x:c r="G16" s="74" t="n"/>
      <x:c r="H16" s="74" t="n"/>
    </x:row>
    <x:row r="17" ht="28" customHeight="1">
      <x:c r="A17" s="45" t="inlineStr">
        <x:is>
          <x:t xml:space="preserve">3. Canonical URLs and title fingerprints remove repeat coverage.</x:t>
        </x:is>
      </x:c>
      <x:c r="B17" s="74" t="n"/>
      <x:c r="C17" s="74" t="n"/>
      <x:c r="D17" s="74" t="n"/>
      <x:c r="E17" s="74" t="n"/>
      <x:c r="F17" s="74" t="n"/>
      <x:c r="G17" s="74" t="n"/>
      <x:c r="H17" s="74" t="n"/>
    </x:row>
    <x:row r="18" ht="28" customHeight="1">
      <x:c r="A18" s="45" t="inlineStr">
        <x:is>
          <x:t xml:space="preserve">4. Source Registry is an allowlist; anonymous blogs and content farms are excluded.</x:t>
        </x:is>
      </x:c>
      <x:c r="B18" s="74" t="n"/>
      <x:c r="C18" s="74" t="n"/>
      <x:c r="D18" s="74" t="n"/>
      <x:c r="E18" s="74" t="n"/>
      <x:c r="F18" s="74" t="n"/>
      <x:c r="G18" s="74" t="n"/>
      <x:c r="H18" s="74" t="n"/>
    </x:row>
  </x:sheetData>
  <x:mergeCells>
    <x:mergeCell ref="A4:B4"/>
    <x:mergeCell ref="G4:H4"/>
    <x:mergeCell ref="A18:H18"/>
    <x:mergeCell ref="A15:H15"/>
    <x:mergeCell ref="A2:H2"/>
    <x:mergeCell ref="A16:H16"/>
    <x:mergeCell ref="D4:E4"/>
    <x:mergeCell ref="A14:H14"/>
    <x:mergeCell ref="A1:H1"/>
    <x:mergeCell ref="A17:H17"/>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20" customWidth="1"/>
    <x:col min="2" max="2" width="20" customWidth="1"/>
    <x:col min="3" max="3" width="18" customWidth="1"/>
    <x:col min="4" max="4" width="18" customWidth="1"/>
    <x:col min="5" max="5" width="28" customWidth="1"/>
    <x:col min="6" max="6" width="16" customWidth="1"/>
    <x:col min="7" max="7" width="22" customWidth="1"/>
    <x:col min="8" max="8" width="27" customWidth="1"/>
    <x:col min="9" max="9" width="56" customWidth="1"/>
    <x:col min="10" max="10" width="72" customWidth="1"/>
    <x:col min="11" max="11" width="48" customWidth="1"/>
    <x:col min="12" max="12" width="25" customWidth="1"/>
    <x:col min="13" max="13" width="20" customWidth="1"/>
    <x:col min="14" max="14" width="14" customWidth="1"/>
    <x:col min="15" max="15" width="30" customWidth="1"/>
  </x:cols>
  <x:sheetData>
    <x:row r="1" ht="34" customHeight="1">
      <x:c r="A1" s="4" t="inlineStr">
        <x:is>
          <x:t xml:space="preserve">News Ledger</x:t>
        </x:is>
      </x:c>
    </x:row>
    <x:row r="2" ht="25" customHeight="1">
      <x:c r="A2" s="67" t="inlineStr">
        <x:is>
          <x:t xml:space="preserve">Master article ledger with canonical-URL and title-fingerprint deduplication</x:t>
        </x:is>
      </x:c>
      <x:c r="B2" s="68" t="n"/>
      <x:c r="C2" s="68" t="n"/>
      <x:c r="D2" s="68" t="n"/>
      <x:c r="E2" s="68" t="n"/>
      <x:c r="F2" s="68" t="n"/>
      <x:c r="G2" s="68" t="n"/>
      <x:c r="H2" s="68" t="n"/>
      <x:c r="I2" s="68" t="n"/>
      <x:c r="J2" s="68" t="n"/>
      <x:c r="K2" s="68" t="n"/>
      <x:c r="L2" s="68" t="n"/>
      <x:c r="M2" s="68" t="n"/>
      <x:c r="N2" s="68" t="n"/>
      <x:c r="O2" s="69" t="n"/>
    </x:row>
    <x:row r="3" ht="31" customHeight="1">
      <x:c r="A3" s="57" t="inlineStr">
        <x:is>
          <x:t xml:space="preserve">Collected At (JST)</x:t>
        </x:is>
      </x:c>
      <x:c r="B3" s="58" t="inlineStr">
        <x:is>
          <x:t xml:space="preserve">Published At</x:t>
        </x:is>
      </x:c>
      <x:c r="C3" s="58" t="inlineStr">
        <x:is>
          <x:t xml:space="preserve">Region</x:t>
        </x:is>
      </x:c>
      <x:c r="D3" s="58" t="inlineStr">
        <x:is>
          <x:t xml:space="preserve">Country / Area</x:t>
        </x:is>
      </x:c>
      <x:c r="E3" s="58" t="inlineStr">
        <x:is>
          <x:t xml:space="preserve">Topic</x:t>
        </x:is>
      </x:c>
      <x:c r="F3" s="58" t="inlineStr">
        <x:is>
          <x:t xml:space="preserve">Policy Relevance</x:t>
        </x:is>
      </x:c>
      <x:c r="G3" s="58" t="inlineStr">
        <x:is>
          <x:t xml:space="preserve">Source Type</x:t>
        </x:is>
      </x:c>
      <x:c r="H3" s="58" t="inlineStr">
        <x:is>
          <x:t xml:space="preserve">Source</x:t>
        </x:is>
      </x:c>
      <x:c r="I3" s="58" t="inlineStr">
        <x:is>
          <x:t xml:space="preserve">Title</x:t>
        </x:is>
      </x:c>
      <x:c r="J3" s="58" t="inlineStr">
        <x:is>
          <x:t xml:space="preserve">Summary</x:t>
        </x:is>
      </x:c>
      <x:c r="K3" s="58" t="inlineStr">
        <x:is>
          <x:t xml:space="preserve">URL</x:t>
        </x:is>
      </x:c>
      <x:c r="L3" s="58" t="inlineStr">
        <x:is>
          <x:t xml:space="preserve">Canonical ID</x:t>
        </x:is>
      </x:c>
      <x:c r="M3" s="58" t="inlineStr">
        <x:is>
          <x:t xml:space="preserve">First Seen</x:t>
        </x:is>
      </x:c>
      <x:c r="N3" s="58" t="inlineStr">
        <x:is>
          <x:t xml:space="preserve">Status</x:t>
        </x:is>
      </x:c>
      <x:c r="O3" s="59" t="inlineStr">
        <x:is>
          <x:t xml:space="preserve">Notes</x:t>
        </x:is>
      </x:c>
    </x:row>
    <x:row r="4" ht="42" customHeight="1">
      <x:c r="A4" s="75" t="inlineStr">
        <x:is>
          <x:t xml:space="preserve">2026-07-26T21:02:36+09:00</x:t>
        </x:is>
      </x:c>
      <x:c r="B4" s="75" t="inlineStr">
        <x:is>
          <x:t xml:space="preserve">2026-07-25T07:03:59Z</x:t>
        </x:is>
      </x:c>
      <x:c r="C4" s="60" t="inlineStr">
        <x:is>
          <x:t xml:space="preserve">Global</x:t>
        </x:is>
      </x:c>
      <x:c r="D4" s="60" t="inlineStr">
        <x:is>
          <x:t xml:space="preserve">United States</x:t>
        </x:is>
      </x:c>
      <x:c r="E4" s="60" t="inlineStr">
        <x:is>
          <x:t xml:space="preserve">Artificial Intelligence</x:t>
        </x:is>
      </x:c>
      <x:c r="F4" s="76" t="n">
        <x:v>2</x:v>
      </x:c>
      <x:c r="G4" s="60" t="inlineStr">
        <x:is>
          <x:t xml:space="preserve">Official Company</x:t>
        </x:is>
      </x:c>
      <x:c r="H4" s="60" t="inlineStr">
        <x:is>
          <x:t xml:space="preserve">OpenAI News</x:t>
        </x:is>
      </x:c>
      <x:c r="I4" s="60" t="inlineStr">
        <x:is>
          <x:t xml:space="preserve">サイバーセキュリティ助成プログラムによる防御者の強化</x:t>
        </x:is>
      </x:c>
      <x:c r="J4" s="60" t="inlineStr">
        <x:is>
          <x:t xml:space="preserve">サイバーセキュリティにおける革新的な研究とAI統合を強調した助成プログラムについての報告。</x:t>
        </x:is>
      </x:c>
      <x:c r="K4" s="60" t="inlineStr">
        <x:is>
          <x:t xml:space="preserve">https://openai.com/index/empowering-defenders-through-our-cybersecurity-grant-program</x:t>
        </x:is>
      </x:c>
      <x:c r="L4" s="60" t="inlineStr">
        <x:is>
          <x:t xml:space="preserve">c2c6b4643598298d6a0dbf2d</x:t>
        </x:is>
      </x:c>
      <x:c r="M4" s="75" t="inlineStr">
        <x:is>
          <x:t xml:space="preserve">2026-07-26T21:02:36+09:00</x:t>
        </x:is>
      </x:c>
      <x:c r="N4" s="60" t="inlineStr">
        <x:is>
          <x:t xml:space="preserve">New</x:t>
        </x:is>
      </x:c>
      <x:c r="O4" s="60" t="inlineStr">
        <x:is>
          <x:t xml:space="preserve">枠: Innovation Policy / 政策分野: R&amp;D Funding &amp; Tax Incentives / 学術区分: News &amp; Official Release / 焦点: サイバーセキュリティにおけるAI統合 / Historical backfill from an allowlisted source.</x:t>
        </x:is>
      </x:c>
    </x:row>
    <x:row r="5" ht="42" customHeight="1">
      <x:c r="A5" s="75" t="inlineStr">
        <x:is>
          <x:t xml:space="preserve">2026-07-26T21:45:54+09:00</x:t>
        </x:is>
      </x:c>
      <x:c r="B5" s="75" t="inlineStr">
        <x:is>
          <x:t xml:space="preserve">2026-07-24T01:25:22Z</x:t>
        </x:is>
      </x:c>
      <x:c r="C5" s="60" t="inlineStr">
        <x:is>
          <x:t xml:space="preserve">EU &amp; Europe</x:t>
        </x:is>
      </x:c>
      <x:c r="D5" s="60" t="inlineStr">
        <x:is>
          <x:t xml:space="preserve">European Patent Organisation</x:t>
        </x:is>
      </x:c>
      <x:c r="E5" s="60" t="inlineStr">
        <x:is>
          <x:t xml:space="preserve"/>
        </x:is>
      </x:c>
      <x:c r="F5" s="76" t="n">
        <x:v>4</x:v>
      </x:c>
      <x:c r="G5" s="60" t="inlineStr">
        <x:is>
          <x:t xml:space="preserve">Intergovernmental</x:t>
        </x:is>
      </x:c>
      <x:c r="H5" s="60" t="inlineStr">
        <x:is>
          <x:t xml:space="preserve">European Patent Office News</x:t>
        </x:is>
      </x:c>
      <x:c r="I5" s="60" t="inlineStr">
        <x:is>
          <x:t xml:space="preserve">EPOが2037年までPCT権限を継続</x:t>
        </x:is>
      </x:c>
      <x:c r="J5" s="60" t="inlineStr">
        <x:is>
          <x:t xml:space="preserve">PCT総会はEPOを国際調査および予備審査機関として再任した。</x:t>
        </x:is>
      </x:c>
      <x:c r="K5" s="60" t="inlineStr">
        <x:is>
          <x:t xml:space="preserve">https://www.epo.org/en/news-events/news/epo-continue-key-role-pct-authority-until-2037</x:t>
        </x:is>
      </x:c>
      <x:c r="L5" s="60" t="inlineStr">
        <x:is>
          <x:t xml:space="preserve">0709c55767ed6dbd79c145c1</x:t>
        </x:is>
      </x:c>
      <x:c r="M5" s="75" t="inlineStr">
        <x:is>
          <x:t xml:space="preserve">2026-07-26T21:45:54+09:00</x:t>
        </x:is>
      </x:c>
      <x:c r="N5" s="60" t="inlineStr">
        <x:is>
          <x:t xml:space="preserve">New</x:t>
        </x:is>
      </x:c>
      <x:c r="O5" s="60" t="inlineStr">
        <x:is>
          <x:t xml:space="preserve">枠: Innovation Policy / 政策分野: Patents &amp; Intellectual Property / 学術区分: News &amp; Official Release / 焦点: PCTにおけるEPOの役割</x:t>
        </x:is>
      </x:c>
    </x:row>
    <x:row r="6" ht="42" customHeight="1">
      <x:c r="A6" s="75" t="inlineStr">
        <x:is>
          <x:t xml:space="preserve">2026-07-26T20:36:29+09:00</x:t>
        </x:is>
      </x:c>
      <x:c r="B6" s="75" t="inlineStr">
        <x:is>
          <x:t xml:space="preserve">2026-07-24T00:00:00Z</x:t>
        </x:is>
      </x:c>
      <x:c r="C6" s="60" t="inlineStr">
        <x:is>
          <x:t xml:space="preserve">United States</x:t>
        </x:is>
      </x:c>
      <x:c r="D6" s="60" t="inlineStr">
        <x:is>
          <x:t xml:space="preserve">Global</x:t>
        </x:is>
      </x:c>
      <x:c r="E6" s="60" t="inlineStr">
        <x:is>
          <x:t xml:space="preserve">Artificial Intelligence</x:t>
        </x:is>
      </x:c>
      <x:c r="F6" s="76" t="n">
        <x:v>3</x:v>
      </x:c>
      <x:c r="G6" s="60" t="inlineStr">
        <x:is>
          <x:t xml:space="preserve">Scientific Publication</x:t>
        </x:is>
      </x:c>
      <x:c r="H6" s="60" t="inlineStr">
        <x:is>
          <x:t xml:space="preserve">Nature</x:t>
        </x:is>
      </x:c>
      <x:c r="I6" s="60" t="inlineStr">
        <x:is>
          <x:t xml:space="preserve">ホワイトハウスがAI資金を発表 — 米国科学の新時代を示唆</x:t>
        </x:is>
      </x:c>
      <x:c r="J6" s="60" t="inlineStr">
        <x:is>
          <x:t xml:space="preserve">米国の科学顧問が資金調達の改革を呼びかけ、AIを用いた研究を加速するための助成金を配布した。</x:t>
        </x:is>
      </x:c>
      <x:c r="K6" s="60" t="inlineStr">
        <x:is>
          <x:t xml:space="preserve">https://www.nature.com/articles/d41586-026-02332-8</x:t>
        </x:is>
      </x:c>
      <x:c r="L6" s="60" t="inlineStr">
        <x:is>
          <x:t xml:space="preserve">856206151844f412d95b7a9b</x:t>
        </x:is>
      </x:c>
      <x:c r="M6" s="75" t="inlineStr">
        <x:is>
          <x:t xml:space="preserve">2026-07-26T20:36:29+09:00</x:t>
        </x:is>
      </x:c>
      <x:c r="N6" s="60" t="inlineStr">
        <x:is>
          <x:t xml:space="preserve">New</x:t>
        </x:is>
      </x:c>
      <x:c r="O6" s="60" t="inlineStr">
        <x:is>
          <x:t xml:space="preserve">枠: Innovation Policy / 政策分野: R&amp;D Funding &amp; Tax Incentives / 学術区分: News &amp; Official Release / 焦点: AI研究の資金調達</x:t>
        </x:is>
      </x:c>
    </x:row>
    <x:row r="7" ht="42" customHeight="1">
      <x:c r="A7" s="75" t="inlineStr">
        <x:is>
          <x:t xml:space="preserve">2026-07-26T21:45:54+09:00</x:t>
        </x:is>
      </x:c>
      <x:c r="B7" s="75" t="inlineStr">
        <x:is>
          <x:t xml:space="preserve">2026-07-23T04:00:01Z</x:t>
        </x:is>
      </x:c>
      <x:c r="C7" s="60" t="inlineStr">
        <x:is>
          <x:t xml:space="preserve">EU &amp; Europe</x:t>
        </x:is>
      </x:c>
      <x:c r="D7" s="60" t="inlineStr">
        <x:is>
          <x:t xml:space="preserve">European Patent Organisation</x:t>
        </x:is>
      </x:c>
      <x:c r="E7" s="60" t="inlineStr">
        <x:is>
          <x:t xml:space="preserve"/>
        </x:is>
      </x:c>
      <x:c r="F7" s="76" t="n">
        <x:v>4</x:v>
      </x:c>
      <x:c r="G7" s="60" t="inlineStr">
        <x:is>
          <x:t xml:space="preserve">Intergovernmental</x:t>
        </x:is>
      </x:c>
      <x:c r="H7" s="60" t="inlineStr">
        <x:is>
          <x:t xml:space="preserve">European Patent Office News</x:t>
        </x:is>
      </x:c>
      <x:c r="I7" s="60" t="inlineStr">
        <x:is>
          <x:t xml:space="preserve">特許付与プロセスが2027年4月1日から完全デジタル化</x:t>
        </x:is>
      </x:c>
      <x:c r="J7" s="60" t="inlineStr">
        <x:is>
          <x:t xml:space="preserve">EPOは、ユーザーとの密接な協力のもとで数年間のデジタル変革を経て、特許のデジタル申請と通知を義務化する準備を進めている。</x:t>
        </x:is>
      </x:c>
      <x:c r="K7" s="60" t="inlineStr">
        <x:is>
          <x:t xml:space="preserve">https://www.epo.org/en/news-events/news/patent-granting-process-fully-digital-1-april-2027</x:t>
        </x:is>
      </x:c>
      <x:c r="L7" s="60" t="inlineStr">
        <x:is>
          <x:t xml:space="preserve">0f53b9e079b5f01ec34debad</x:t>
        </x:is>
      </x:c>
      <x:c r="M7" s="75" t="inlineStr">
        <x:is>
          <x:t xml:space="preserve">2026-07-26T21:45:54+09:00</x:t>
        </x:is>
      </x:c>
      <x:c r="N7" s="60" t="inlineStr">
        <x:is>
          <x:t xml:space="preserve">New</x:t>
        </x:is>
      </x:c>
      <x:c r="O7" s="60" t="inlineStr">
        <x:is>
          <x:t xml:space="preserve">枠: Innovation Policy / 政策分野: Patents &amp; Intellectual Property / 学術区分: News &amp; Official Release / 焦点: 特許のデジタル申請および通知の義務化</x:t>
        </x:is>
      </x:c>
    </x:row>
    <x:row r="8" ht="42" customHeight="1">
      <x:c r="A8" s="75" t="inlineStr">
        <x:is>
          <x:t xml:space="preserve">2026-07-26T21:29:09+09:00</x:t>
        </x:is>
      </x:c>
      <x:c r="B8" s="75" t="inlineStr">
        <x:is>
          <x:t xml:space="preserve">2026-07-23T00:00:00Z</x:t>
        </x:is>
      </x:c>
      <x:c r="C8" s="60" t="inlineStr">
        <x:is>
          <x:t xml:space="preserve">Global</x:t>
        </x:is>
      </x:c>
      <x:c r="D8" s="60" t="inlineStr">
        <x:is>
          <x:t xml:space="preserve">Global</x:t>
        </x:is>
      </x:c>
      <x:c r="E8" s="60" t="inlineStr">
        <x:is>
          <x:t xml:space="preserve">Robotics</x:t>
        </x:is>
      </x:c>
      <x:c r="F8" s="76" t="n">
        <x:v>0</x:v>
      </x:c>
      <x:c r="G8" s="60" t="inlineStr">
        <x:is>
          <x:t xml:space="preserve">Journal Article</x:t>
        </x:is>
      </x:c>
      <x:c r="H8" s="60" t="inlineStr">
        <x:is>
          <x:t xml:space="preserve">Science Advances</x:t>
        </x:is>
      </x:c>
      <x:c r="I8" s="60" t="inlineStr">
        <x:is>
          <x:t xml:space="preserve">自己探求によるロボットの行動と言語の発展</x:t>
        </x:is>
      </x:c>
      <x:c r="J8" s="60" t="inlineStr">
        <x:is>
          <x:t xml:space="preserve">ロボットが自己探求を通じて行動と言語を学ぶ過程を探る研究が行われた。</x:t>
        </x:is>
      </x:c>
      <x:c r="K8" s="60" t="inlineStr">
        <x:is>
          <x:t xml:space="preserve">https://doi.org/10.1126/sciadv.aee7533</x:t>
        </x:is>
      </x:c>
      <x:c r="L8" s="60" t="inlineStr">
        <x:is>
          <x:t xml:space="preserve">c833fd421c298cf895263644</x:t>
        </x:is>
      </x:c>
      <x:c r="M8" s="75" t="inlineStr">
        <x:is>
          <x:t xml:space="preserve">2026-07-26T21:29:09+09:00</x:t>
        </x:is>
      </x:c>
      <x:c r="N8" s="60" t="inlineStr">
        <x:is>
          <x:t xml:space="preserve">New</x:t>
        </x:is>
      </x:c>
      <x:c r="O8" s="60" t="inlineStr">
        <x:is>
          <x:t xml:space="preserve">枠: Technology Innovation / 学術区分: Journal Article / 査読表示: Journal record — confirm peer review on publisher page / 掲載誌・学会: Science Advances / 焦点: ロボットの自己探求による行動と言語の発展 / OpenAlex record; work type=article; citations=1</x:t>
        </x:is>
      </x:c>
    </x:row>
    <x:row r="9" ht="42" customHeight="1">
      <x:c r="A9" s="75" t="inlineStr">
        <x:is>
          <x:t xml:space="preserve">2026-07-26T21:29:09+09:00</x:t>
        </x:is>
      </x:c>
      <x:c r="B9" s="75" t="inlineStr">
        <x:is>
          <x:t xml:space="preserve">2026-07-23T00:00:00Z</x:t>
        </x:is>
      </x:c>
      <x:c r="C9" s="60" t="inlineStr">
        <x:is>
          <x:t xml:space="preserve">Asia</x:t>
        </x:is>
      </x:c>
      <x:c r="D9" s="60" t="inlineStr">
        <x:is>
          <x:t xml:space="preserve">Global</x:t>
        </x:is>
      </x:c>
      <x:c r="E9" s="60" t="inlineStr">
        <x:is>
          <x:t xml:space="preserve">Robotics | Artificial Intelligence</x:t>
        </x:is>
      </x:c>
      <x:c r="F9" s="76" t="n">
        <x:v>0</x:v>
      </x:c>
      <x:c r="G9" s="60" t="inlineStr">
        <x:is>
          <x:t xml:space="preserve">Journal Article</x:t>
        </x:is>
      </x:c>
      <x:c r="H9" s="60" t="inlineStr">
        <x:is>
          <x:t xml:space="preserve">Frontiers in Neurorobotics</x:t>
        </x:is>
      </x:c>
      <x:c r="I9" s="60" t="inlineStr">
        <x:is>
          <x:t xml:space="preserve">AI駆動の四足ロボット：基本的な移動から高度な生物模倣行動まで</x:t>
        </x:is>
      </x:c>
      <x:c r="J9" s="60" t="inlineStr">
        <x:is>
          <x:t xml:space="preserve">四足ロボットの技術開発に関する文献レビューが行われ、AIの進展がその能力を拡張していることが示された。</x:t>
        </x:is>
      </x:c>
      <x:c r="K9" s="60" t="inlineStr">
        <x:is>
          <x:t xml:space="preserve">https://doi.org/10.3389/fnbot.2026.1855550</x:t>
        </x:is>
      </x:c>
      <x:c r="L9" s="60" t="inlineStr">
        <x:is>
          <x:t xml:space="preserve">e165800add9d682af8ea2122</x:t>
        </x:is>
      </x:c>
      <x:c r="M9" s="75" t="inlineStr">
        <x:is>
          <x:t xml:space="preserve">2026-07-26T21:29:09+09:00</x:t>
        </x:is>
      </x:c>
      <x:c r="N9" s="60" t="inlineStr">
        <x:is>
          <x:t xml:space="preserve">New</x:t>
        </x:is>
      </x:c>
      <x:c r="O9" s="60" t="inlineStr">
        <x:is>
          <x:t xml:space="preserve">枠: Technology Innovation / 学術区分: Journal Article / 査読表示: Journal record — confirm peer review on publisher page / 掲載誌・学会: Frontiers in Neurorobotics / 焦点: AI駆動の四足ロボット / OpenAlex record; work type=article; citations=0</x:t>
        </x:is>
      </x:c>
    </x:row>
    <x:row r="10" ht="42" customHeight="1">
      <x:c r="A10" s="75" t="inlineStr">
        <x:is>
          <x:t xml:space="preserve">2026-07-26T21:29:09+09:00</x:t>
        </x:is>
      </x:c>
      <x:c r="B10" s="75" t="inlineStr">
        <x:is>
          <x:t xml:space="preserve">2026-07-23T00:00:00Z</x:t>
        </x:is>
      </x:c>
      <x:c r="C10" s="60" t="inlineStr">
        <x:is>
          <x:t xml:space="preserve">Global</x:t>
        </x:is>
      </x:c>
      <x:c r="D10" s="60" t="inlineStr">
        <x:is>
          <x:t xml:space="preserve">Global</x:t>
        </x:is>
      </x:c>
      <x:c r="E10" s="60" t="inlineStr">
        <x:is>
          <x:t xml:space="preserve">Fusion Energy</x:t>
        </x:is>
      </x:c>
      <x:c r="F10" s="76" t="n">
        <x:v>0</x:v>
      </x:c>
      <x:c r="G10" s="60" t="inlineStr">
        <x:is>
          <x:t xml:space="preserve">Journal Article</x:t>
        </x:is>
      </x:c>
      <x:c r="H10" s="60" t="inlineStr">
        <x:is>
          <x:t xml:space="preserve">Nuclear Fusion</x:t>
        </x:is>
      </x:c>
      <x:c r="I10" s="60" t="inlineStr">
        <x:is>
          <x:t xml:space="preserve">Wendelstein 7-Xにおける高速イオンの閉じ込めにおける放射電場の役割</x:t>
        </x:is>
      </x:c>
      <x:c r="J10" s="60" t="inlineStr">
        <x:is>
          <x:t xml:space="preserve">Wendelstein 7-Xにおける高速イオンの閉じ込めに関する研究が行われ、放射電場の影響が分析された。</x:t>
        </x:is>
      </x:c>
      <x:c r="K10" s="60" t="inlineStr">
        <x:is>
          <x:t xml:space="preserve">https://doi.org/10.1088/1741-4326/ae8f55</x:t>
        </x:is>
      </x:c>
      <x:c r="L10" s="60" t="inlineStr">
        <x:is>
          <x:t xml:space="preserve">eef01d292bfb6d5bb3537528</x:t>
        </x:is>
      </x:c>
      <x:c r="M10" s="75" t="inlineStr">
        <x:is>
          <x:t xml:space="preserve">2026-07-26T21:29:09+09:00</x:t>
        </x:is>
      </x:c>
      <x:c r="N10" s="60" t="inlineStr">
        <x:is>
          <x:t xml:space="preserve">New</x:t>
        </x:is>
      </x:c>
      <x:c r="O10" s="60" t="inlineStr">
        <x:is>
          <x:t xml:space="preserve">枠: Technology Innovation / 学術区分: Journal Article / 査読表示: Journal record — confirm peer review on publisher page / 掲載誌・学会: Nuclear Fusion / 焦点: Wendelstein 7-Xの高速イオンの閉じ込め / OpenAlex record; work type=article; citations=0</x:t>
        </x:is>
      </x:c>
    </x:row>
    <x:row r="11" ht="42" customHeight="1">
      <x:c r="A11" s="75" t="inlineStr">
        <x:is>
          <x:t xml:space="preserve">2026-07-26T21:29:09+09:00</x:t>
        </x:is>
      </x:c>
      <x:c r="B11" s="75" t="inlineStr">
        <x:is>
          <x:t xml:space="preserve">2026-07-23T00:00:00Z</x:t>
        </x:is>
      </x:c>
      <x:c r="C11" s="60" t="inlineStr">
        <x:is>
          <x:t xml:space="preserve">Global</x:t>
        </x:is>
      </x:c>
      <x:c r="D11" s="60" t="inlineStr">
        <x:is>
          <x:t xml:space="preserve">Global</x:t>
        </x:is>
      </x:c>
      <x:c r="E11" s="60" t="inlineStr">
        <x:is>
          <x:t xml:space="preserve">Healthcare</x:t>
        </x:is>
      </x:c>
      <x:c r="F11" s="76" t="n">
        <x:v>0</x:v>
      </x:c>
      <x:c r="G11" s="60" t="inlineStr">
        <x:is>
          <x:t xml:space="preserve">Journal Article</x:t>
        </x:is>
      </x:c>
      <x:c r="H11" s="60" t="inlineStr">
        <x:is>
          <x:t xml:space="preserve">Scientific Reports</x:t>
        </x:is>
      </x:c>
      <x:c r="I11" s="60" t="inlineStr">
        <x:is>
          <x:t xml:space="preserve">密なプラズマフォーカスにおけるクーロン爆発の研究</x:t>
        </x:is>
      </x:c>
      <x:c r="J11" s="60" t="inlineStr">
        <x:is>
          <x:t xml:space="preserve">密なプラズマフォーカスにおけるクーロン爆発のシミュレーション研究が行われ、極端な条件下での挙動が分析された。</x:t>
        </x:is>
      </x:c>
      <x:c r="K11" s="60" t="inlineStr">
        <x:is>
          <x:t xml:space="preserve">https://doi.org/10.1038/s41598-026-63204-9</x:t>
        </x:is>
      </x:c>
      <x:c r="L11" s="60" t="inlineStr">
        <x:is>
          <x:t xml:space="preserve">fcf607380491b3f6666abab6</x:t>
        </x:is>
      </x:c>
      <x:c r="M11" s="75" t="inlineStr">
        <x:is>
          <x:t xml:space="preserve">2026-07-26T21:29:09+09:00</x:t>
        </x:is>
      </x:c>
      <x:c r="N11" s="60" t="inlineStr">
        <x:is>
          <x:t xml:space="preserve">New</x:t>
        </x:is>
      </x:c>
      <x:c r="O11" s="60" t="inlineStr">
        <x:is>
          <x:t xml:space="preserve">枠: Technology Innovation / 学術区分: Journal Article / 査読表示: Journal record — confirm peer review on publisher page / 掲載誌・学会: Scientific Reports / 焦点: 密なプラズマフォーカスにおけるクーロン爆発の研究 / OpenAlex record; work type=article; citations=0</x:t>
        </x:is>
      </x:c>
    </x:row>
    <x:row r="12" ht="42" customHeight="1">
      <x:c r="A12" s="75" t="inlineStr">
        <x:is>
          <x:t xml:space="preserve">2026-07-26T21:29:09+09:00</x:t>
        </x:is>
      </x:c>
      <x:c r="B12" s="75" t="inlineStr">
        <x:is>
          <x:t xml:space="preserve">2026-07-23T00:00:00Z</x:t>
        </x:is>
      </x:c>
      <x:c r="C12" s="60" t="inlineStr">
        <x:is>
          <x:t xml:space="preserve">Global</x:t>
        </x:is>
      </x:c>
      <x:c r="D12" s="60" t="inlineStr">
        <x:is>
          <x:t xml:space="preserve">Global</x:t>
        </x:is>
      </x:c>
      <x:c r="E12" s="60" t="inlineStr">
        <x:is>
          <x:t xml:space="preserve">Quantum</x:t>
        </x:is>
      </x:c>
      <x:c r="F12" s="76" t="n">
        <x:v>4</x:v>
      </x:c>
      <x:c r="G12" s="60" t="inlineStr">
        <x:is>
          <x:t xml:space="preserve">Preprint</x:t>
        </x:is>
      </x:c>
      <x:c r="H12" s="60" t="inlineStr">
        <x:is>
          <x:t xml:space="preserve">Zenodo (CERN European Organization for Nuclear Research)</x:t>
        </x:is>
      </x:c>
      <x:c r="I12" s="60" t="inlineStr">
        <x:is>
          <x:t xml:space="preserve">プライム・レックス理論と量子技術ガバナンス：キュービットから量子主権へ</x:t>
        </x:is>
      </x:c>
      <x:c r="J12" s="60" t="inlineStr">
        <x:is>
          <x:t xml:space="preserve">OECDが採択した量子技術に関する提言を基に、量子技術のガバナンスの枠組みを構築する方法を探求した。</x:t>
        </x:is>
      </x:c>
      <x:c r="K12" s="60" t="inlineStr">
        <x:is>
          <x:t xml:space="preserve">https://doi.org/10.5281/zenodo.21512028</x:t>
        </x:is>
      </x:c>
      <x:c r="L12" s="60" t="inlineStr">
        <x:is>
          <x:t xml:space="preserve">61f1fcfb9afff652f523d019</x:t>
        </x:is>
      </x:c>
      <x:c r="M12" s="75" t="inlineStr">
        <x:is>
          <x:t xml:space="preserve">2026-07-26T21:29:09+09:00</x:t>
        </x:is>
      </x:c>
      <x:c r="N12" s="60" t="inlineStr">
        <x:is>
          <x:t xml:space="preserve">New</x:t>
        </x:is>
      </x:c>
      <x:c r="O12" s="60" t="inlineStr">
        <x:is>
          <x:t xml:space="preserve">枠: Technology Innovation | Innovation Policy / 政策分野: National Programs &amp; Strategy / 学術区分: Preprint / 査読表示: Not peer reviewed / 掲載誌・学会: Zenodo (CERN European Organization for Nuclear Research) / 焦点: 量子技術のガバナンスとOECDの提言 / OpenAlex record; work type=preprint; citations=0</x:t>
        </x:is>
      </x:c>
    </x:row>
    <x:row r="13" ht="42" customHeight="1">
      <x:c r="A13" s="75" t="inlineStr">
        <x:is>
          <x:t xml:space="preserve">2026-07-26T21:02:36+09:00</x:t>
        </x:is>
      </x:c>
      <x:c r="B13" s="75" t="inlineStr">
        <x:is>
          <x:t xml:space="preserve">2026-07-23T00:00:00Z</x:t>
        </x:is>
      </x:c>
      <x:c r="C13" s="60" t="inlineStr">
        <x:is>
          <x:t xml:space="preserve">United States</x:t>
        </x:is>
      </x:c>
      <x:c r="D13" s="60" t="inlineStr">
        <x:is>
          <x:t xml:space="preserve">United States</x:t>
        </x:is>
      </x:c>
      <x:c r="E13" s="60" t="inlineStr">
        <x:is>
          <x:t xml:space="preserve">Healthcare</x:t>
        </x:is>
      </x:c>
      <x:c r="F13" s="76" t="n">
        <x:v>1</x:v>
      </x:c>
      <x:c r="G13" s="60" t="inlineStr">
        <x:is>
          <x:t xml:space="preserve">Official Company</x:t>
        </x:is>
      </x:c>
      <x:c r="H13" s="60" t="inlineStr">
        <x:is>
          <x:t xml:space="preserve">OpenAI News</x:t>
        </x:is>
      </x:c>
      <x:c r="I13" s="60" t="inlineStr">
        <x:is>
          <x:t xml:space="preserve">AdventHealthがOpenAIを活用して全人的ケアを進める</x:t>
        </x:is>
      </x:c>
      <x:c r="J13" s="60" t="inlineStr">
        <x:is>
          <x:t xml:space="preserve">AdventHealthがChatGPTを利用して業務を効率化し、患者ケアにより多くの時間を戻す取り組みを行っている。</x:t>
        </x:is>
      </x:c>
      <x:c r="K13" s="60" t="inlineStr">
        <x:is>
          <x:t xml:space="preserve">https://openai.com/index/adventhealth</x:t>
        </x:is>
      </x:c>
      <x:c r="L13" s="60" t="inlineStr">
        <x:is>
          <x:t xml:space="preserve">57b488d288c298008e72a574</x:t>
        </x:is>
      </x:c>
      <x:c r="M13" s="75" t="inlineStr">
        <x:is>
          <x:t xml:space="preserve">2026-07-26T21:02:36+09:00</x:t>
        </x:is>
      </x:c>
      <x:c r="N13" s="60" t="inlineStr">
        <x:is>
          <x:t xml:space="preserve">New</x:t>
        </x:is>
      </x:c>
      <x:c r="O13" s="60" t="inlineStr">
        <x:is>
          <x:t xml:space="preserve">枠: Technology Innovation | Innovation Policy / 政策分野: Public Procurement &amp; Industrial Policy / 学術区分: News &amp; Official Release / 焦点: ChatGPTを用いたヘルスケアの業務効率化 / Historical backfill from an allowlisted source.</x:t>
        </x:is>
      </x:c>
    </x:row>
    <x:row r="14" ht="42" customHeight="1">
      <x:c r="A14" s="75" t="inlineStr">
        <x:is>
          <x:t xml:space="preserve">2026-07-26T20:29:40+09:00</x:t>
        </x:is>
      </x:c>
      <x:c r="B14" s="75" t="inlineStr">
        <x:is>
          <x:t xml:space="preserve">2026-07-23T00:00:00Z</x:t>
        </x:is>
      </x:c>
      <x:c r="C14" s="60" t="inlineStr">
        <x:is>
          <x:t xml:space="preserve">Global</x:t>
        </x:is>
      </x:c>
      <x:c r="D14" s="60" t="inlineStr">
        <x:is>
          <x:t xml:space="preserve">United States</x:t>
        </x:is>
      </x:c>
      <x:c r="E14" s="60" t="inlineStr">
        <x:is>
          <x:t xml:space="preserve">Healthcare</x:t>
        </x:is>
      </x:c>
      <x:c r="F14" s="76" t="n">
        <x:v>0</x:v>
      </x:c>
      <x:c r="G14" s="60" t="inlineStr">
        <x:is>
          <x:t xml:space="preserve">Official Company</x:t>
        </x:is>
      </x:c>
      <x:c r="H14" s="60" t="inlineStr">
        <x:is>
          <x:t xml:space="preserve">OpenAI News</x:t>
        </x:is>
      </x:c>
      <x:c r="I14" s="60" t="inlineStr">
        <x:is>
          <x:t xml:space="preserve">ChatGPTにおけるヘルスケア機能の開始</x:t>
        </x:is>
      </x:c>
      <x:c r="J14" s="60" t="inlineStr">
        <x:is>
          <x:t xml:space="preserve">ChatGPTの新機能により、米国の利用者は医療記録とApple Healthを安全に接続し、より個別化された健康情報を得ることができるようになった。</x:t>
        </x:is>
      </x:c>
      <x:c r="K14" s="60" t="inlineStr">
        <x:is>
          <x:t xml:space="preserve">https://openai.com/index/health-in-chatgpt</x:t>
        </x:is>
      </x:c>
      <x:c r="L14" s="60" t="inlineStr">
        <x:is>
          <x:t xml:space="preserve">bf70d809f9542eeef4af8727</x:t>
        </x:is>
      </x:c>
      <x:c r="M14" s="75" t="inlineStr">
        <x:is>
          <x:t xml:space="preserve">2026-07-26T20:29:40+09:00</x:t>
        </x:is>
      </x:c>
      <x:c r="N14" s="60" t="inlineStr">
        <x:is>
          <x:t xml:space="preserve">New</x:t>
        </x:is>
      </x:c>
      <x:c r="O14" s="60" t="inlineStr">
        <x:is>
          <x:t xml:space="preserve">枠: Technology Innovation / 学術区分: News &amp; Official Release / 焦点: ChatGPTのヘルスケア機能</x:t>
        </x:is>
      </x:c>
    </x:row>
    <x:row r="15" ht="42" customHeight="1">
      <x:c r="A15" s="75" t="inlineStr">
        <x:is>
          <x:t xml:space="preserve">2026-07-26T20:29:40+09:00</x:t>
        </x:is>
      </x:c>
      <x:c r="B15" s="75" t="inlineStr">
        <x:is>
          <x:t xml:space="preserve">2026-07-22T14:12:14Z</x:t>
        </x:is>
      </x:c>
      <x:c r="C15" s="60" t="inlineStr">
        <x:is>
          <x:t xml:space="preserve">United States</x:t>
        </x:is>
      </x:c>
      <x:c r="D15" s="60" t="inlineStr">
        <x:is>
          <x:t xml:space="preserve">United States</x:t>
        </x:is>
      </x:c>
      <x:c r="E15" s="60" t="inlineStr">
        <x:is>
          <x:t xml:space="preserve">Artificial Intelligence</x:t>
        </x:is>
      </x:c>
      <x:c r="F15" s="76" t="n">
        <x:v>3</x:v>
      </x:c>
      <x:c r="G15" s="60" t="inlineStr">
        <x:is>
          <x:t xml:space="preserve">Government</x:t>
        </x:is>
      </x:c>
      <x:c r="H15" s="60" t="inlineStr">
        <x:is>
          <x:t xml:space="preserve">DOE Office of Science News</x:t>
        </x:is>
      </x:c>
      <x:c r="I15" s="60" t="inlineStr">
        <x:is>
          <x:t xml:space="preserve">エネルギー長官がAI駆動の科学的発見を加速するプロジェクトを発表</x:t>
        </x:is>
      </x:c>
      <x:c r="J15" s="60" t="inlineStr">
        <x:is>
          <x:t xml:space="preserve">エネルギー長官クリス・ライトが、全米から選ばれた300のプロジェクトを発表し、エネルギーや発見科学、国家安全保障の分野でのブレークスルーを促進する。</x:t>
        </x:is>
      </x:c>
      <x:c r="K15" s="60" t="inlineStr">
        <x:is>
          <x:t xml:space="preserve">https://www.energy.gov/articles/secretary-energy-chris-wright-announces-first-genesis-mission-projects-selected-accelerate</x:t>
        </x:is>
      </x:c>
      <x:c r="L15" s="60" t="inlineStr">
        <x:is>
          <x:t xml:space="preserve">23fa1d6907c14d73ce3a41cd</x:t>
        </x:is>
      </x:c>
      <x:c r="M15" s="75" t="inlineStr">
        <x:is>
          <x:t xml:space="preserve">2026-07-26T20:29:40+09:00</x:t>
        </x:is>
      </x:c>
      <x:c r="N15" s="60" t="inlineStr">
        <x:is>
          <x:t xml:space="preserve">New</x:t>
        </x:is>
      </x:c>
      <x:c r="O15" s="60" t="inlineStr">
        <x:is>
          <x:t xml:space="preserve">枠: Innovation Policy / 政策分野: National Programs &amp; Strategy / 学術区分: News &amp; Official Release / 焦点: AI駆動の科学的発見を加速するプロジェクト</x:t>
        </x:is>
      </x:c>
    </x:row>
    <x:row r="16" ht="42" customHeight="1">
      <x:c r="A16" s="75" t="inlineStr">
        <x:is>
          <x:t xml:space="preserve">2026-07-26T19:05:06+09:00</x:t>
        </x:is>
      </x:c>
      <x:c r="B16" s="75" t="inlineStr">
        <x:is>
          <x:t xml:space="preserve">2026-07-22T13:53:19Z</x:t>
        </x:is>
      </x:c>
      <x:c r="C16" s="60" t="inlineStr">
        <x:is>
          <x:t xml:space="preserve">United States</x:t>
        </x:is>
      </x:c>
      <x:c r="D16" s="60" t="inlineStr">
        <x:is>
          <x:t xml:space="preserve">United States</x:t>
        </x:is>
      </x:c>
      <x:c r="E16" s="60" t="inlineStr">
        <x:is>
          <x:t xml:space="preserve">Artificial Intelligence</x:t>
        </x:is>
      </x:c>
      <x:c r="F16" s="76" t="n">
        <x:v>5</x:v>
      </x:c>
      <x:c r="G16" s="60" t="inlineStr">
        <x:is>
          <x:t xml:space="preserve">Government</x:t>
        </x:is>
      </x:c>
      <x:c r="H16" s="60" t="inlineStr">
        <x:is>
          <x:t xml:space="preserve">National Science Foundation News</x:t>
        </x:is>
      </x:c>
      <x:c r="I16" s="60" t="inlineStr">
        <x:is>
          <x:t xml:space="preserve">NSFがAI優先事項の推進に関する声明を発表</x:t>
        </x:is>
      </x:c>
      <x:c r="J16" s="60" t="inlineStr">
        <x:is>
          <x:t xml:space="preserve">米国国家科学財団が、ホワイトハウスの科学技術政策室やエネルギー省と連携し、AIに関する優先事項を進めることを発表した。</x:t>
        </x:is>
      </x:c>
      <x:c r="K16" s="60" t="inlineStr">
        <x:is>
          <x:t xml:space="preserve">https://www.nsf.gov/news/statement-nsf-chief-staff-brian-stone-performing-duties-nsf-1</x:t>
        </x:is>
      </x:c>
      <x:c r="L16" s="60" t="inlineStr">
        <x:is>
          <x:t xml:space="preserve">123e2207578ca69c8f9c00a2</x:t>
        </x:is>
      </x:c>
      <x:c r="M16" s="75" t="inlineStr">
        <x:is>
          <x:t xml:space="preserve">2026-07-26T19:05:06+09:00</x:t>
        </x:is>
      </x:c>
      <x:c r="N16" s="60" t="inlineStr">
        <x:is>
          <x:t xml:space="preserve">New</x:t>
        </x:is>
      </x:c>
      <x:c r="O16" s="60" t="inlineStr">
        <x:is>
          <x:t xml:space="preserve">枠: Innovation Policy / 政策分野: National Programs &amp; Strategy / 学術区分: News &amp; Official Release / 焦点: AI優先事項の推進</x:t>
        </x:is>
      </x:c>
    </x:row>
    <x:row r="17" ht="42" customHeight="1">
      <x:c r="A17" s="75" t="inlineStr">
        <x:is>
          <x:t xml:space="preserve">2026-07-26T19:05:06+09:00</x:t>
        </x:is>
      </x:c>
      <x:c r="B17" s="75" t="inlineStr">
        <x:is>
          <x:t xml:space="preserve">2026-07-22T13:53:12Z</x:t>
        </x:is>
      </x:c>
      <x:c r="C17" s="60" t="inlineStr">
        <x:is>
          <x:t xml:space="preserve">United States</x:t>
        </x:is>
      </x:c>
      <x:c r="D17" s="60" t="inlineStr">
        <x:is>
          <x:t xml:space="preserve">United States</x:t>
        </x:is>
      </x:c>
      <x:c r="E17" s="60" t="inlineStr">
        <x:is>
          <x:t xml:space="preserve">Artificial Intelligence</x:t>
        </x:is>
      </x:c>
      <x:c r="F17" s="76" t="n">
        <x:v>4</x:v>
      </x:c>
      <x:c r="G17" s="60" t="inlineStr">
        <x:is>
          <x:t xml:space="preserve">Government</x:t>
        </x:is>
      </x:c>
      <x:c r="H17" s="60" t="inlineStr">
        <x:is>
          <x:t xml:space="preserve">National Science Foundation News</x:t>
        </x:is>
      </x:c>
      <x:c r="I17" s="60" t="inlineStr">
        <x:is>
          <x:t xml:space="preserve">NSFがAIによる科学的発見のためのデータセット価値を解放する新プログラムを発表</x:t>
        </x:is>
      </x:c>
      <x:c r="J17" s="60" t="inlineStr">
        <x:is>
          <x:t xml:space="preserve">米国国立科学財団は、AIを活用した科学的発見のためのデータセット価値を解放するプログラムを発表しました。</x:t>
        </x:is>
      </x:c>
      <x:c r="K17" s="60" t="inlineStr">
        <x:is>
          <x:t xml:space="preserve">https://www.nsf.gov/news/new-nsf-initiative-aims-unlock-dataset-value-ai-enabled</x:t>
        </x:is>
      </x:c>
      <x:c r="L17" s="60" t="inlineStr">
        <x:is>
          <x:t xml:space="preserve">dcd819527d9b80141b26bcb8</x:t>
        </x:is>
      </x:c>
      <x:c r="M17" s="75" t="inlineStr">
        <x:is>
          <x:t xml:space="preserve">2026-07-26T19:05:06+09:00</x:t>
        </x:is>
      </x:c>
      <x:c r="N17" s="60" t="inlineStr">
        <x:is>
          <x:t xml:space="preserve">New</x:t>
        </x:is>
      </x:c>
      <x:c r="O17" s="60" t="inlineStr">
        <x:is>
          <x:t xml:space="preserve">枠: Innovation Policy / 政策分野: R&amp;D Funding &amp; Tax Incentives / 学術区分: News &amp; Official Release / 焦点: AIを活用した科学的発見のためのデータセット</x:t>
        </x:is>
      </x:c>
    </x:row>
    <x:row r="18" ht="42" customHeight="1">
      <x:c r="A18" s="75" t="inlineStr">
        <x:is>
          <x:t xml:space="preserve">2026-07-26T20:29:40+09:00</x:t>
        </x:is>
      </x:c>
      <x:c r="B18" s="75" t="inlineStr">
        <x:is>
          <x:t xml:space="preserve">2026-07-22T13:53:06Z</x:t>
        </x:is>
      </x:c>
      <x:c r="C18" s="60" t="inlineStr">
        <x:is>
          <x:t xml:space="preserve">United States</x:t>
        </x:is>
      </x:c>
      <x:c r="D18" s="60" t="inlineStr">
        <x:is>
          <x:t xml:space="preserve">United States</x:t>
        </x:is>
      </x:c>
      <x:c r="E18" s="60" t="inlineStr">
        <x:is>
          <x:t xml:space="preserve">Artificial Intelligence</x:t>
        </x:is>
      </x:c>
      <x:c r="F18" s="76" t="n">
        <x:v>4</x:v>
      </x:c>
      <x:c r="G18" s="60" t="inlineStr">
        <x:is>
          <x:t xml:space="preserve">Government</x:t>
        </x:is>
      </x:c>
      <x:c r="H18" s="60" t="inlineStr">
        <x:is>
          <x:t xml:space="preserve">National Science Foundation News</x:t>
        </x:is>
      </x:c>
      <x:c r="I18" s="60" t="inlineStr">
        <x:is>
          <x:t xml:space="preserve">NSFがAI駆動の科学を進展させるために8300万ドルの投資を発表</x:t>
        </x:is>
      </x:c>
      <x:c r="J18" s="60" t="inlineStr">
        <x:is>
          <x:t xml:space="preserve">米国国立科学財団は、AI駆動の科学を進展させるために8300万ドルの投資を発表しました。</x:t>
        </x:is>
      </x:c>
      <x:c r="K18" s="60" t="inlineStr">
        <x:is>
          <x:t xml:space="preserve">https://www.nsf.gov/news/nsf-announces-83m-investment-integrated-data-systems</x:t>
        </x:is>
      </x:c>
      <x:c r="L18" s="60" t="inlineStr">
        <x:is>
          <x:t xml:space="preserve">018d40b7e6eb7aa4b8cfb5fa</x:t>
        </x:is>
      </x:c>
      <x:c r="M18" s="75" t="inlineStr">
        <x:is>
          <x:t xml:space="preserve">2026-07-26T20:29:40+09:00</x:t>
        </x:is>
      </x:c>
      <x:c r="N18" s="60" t="inlineStr">
        <x:is>
          <x:t xml:space="preserve">New</x:t>
        </x:is>
      </x:c>
      <x:c r="O18" s="60" t="inlineStr">
        <x:is>
          <x:t xml:space="preserve">枠: Innovation Policy / 政策分野: National Programs &amp; Strategy | Research System &amp; Talent / 学術区分: News &amp; Official Release / 焦点: AI駆動の科学のためのデータシステム</x:t>
        </x:is>
      </x:c>
    </x:row>
    <x:row r="19" ht="42" customHeight="1">
      <x:c r="A19" s="75" t="inlineStr">
        <x:is>
          <x:t xml:space="preserve">2026-07-26T20:29:40+09:00</x:t>
        </x:is>
      </x:c>
      <x:c r="B19" s="75" t="inlineStr">
        <x:is>
          <x:t xml:space="preserve">2026-07-22T12:00:00Z</x:t>
        </x:is>
      </x:c>
      <x:c r="C19" s="60" t="inlineStr">
        <x:is>
          <x:t xml:space="preserve">United States</x:t>
        </x:is>
      </x:c>
      <x:c r="D19" s="60" t="inlineStr">
        <x:is>
          <x:t xml:space="preserve">United States</x:t>
        </x:is>
      </x:c>
      <x:c r="E19" s="60" t="inlineStr">
        <x:is>
          <x:t xml:space="preserve"/>
        </x:is>
      </x:c>
      <x:c r="F19" s="76" t="n">
        <x:v>4</x:v>
      </x:c>
      <x:c r="G19" s="60" t="inlineStr">
        <x:is>
          <x:t xml:space="preserve">Government</x:t>
        </x:is>
      </x:c>
      <x:c r="H19" s="60" t="inlineStr">
        <x:is>
          <x:t xml:space="preserve">NIST News</x:t>
        </x:is>
      </x:c>
      <x:c r="I19" s="60" t="inlineStr">
        <x:is>
          <x:t xml:space="preserve">NIST、中小企業向けの資金提供機会を発表</x:t>
        </x:is>
      </x:c>
      <x:c r="J19" s="60" t="inlineStr">
        <x:is>
          <x:t xml:space="preserve">NIST MEPが中小企業向けの資金提供機会を発表し、2026年7月28日にウェビナーを開催する予定。</x:t>
        </x:is>
      </x:c>
      <x:c r="K19" s="60" t="inlineStr">
        <x:is>
          <x:t xml:space="preserve">https://www.nist.gov/news-events/news/2026/07/nist-announces-funding-opportunity-14-mep-centers-advance-small-and-medium</x:t>
        </x:is>
      </x:c>
      <x:c r="L19" s="60" t="inlineStr">
        <x:is>
          <x:t xml:space="preserve">5aa9c93bc7040291c9f08bfa</x:t>
        </x:is>
      </x:c>
      <x:c r="M19" s="75" t="inlineStr">
        <x:is>
          <x:t xml:space="preserve">2026-07-26T20:29:40+09:00</x:t>
        </x:is>
      </x:c>
      <x:c r="N19" s="60" t="inlineStr">
        <x:is>
          <x:t xml:space="preserve">New</x:t>
        </x:is>
      </x:c>
      <x:c r="O19" s="60" t="inlineStr">
        <x:is>
          <x:t xml:space="preserve">枠: Innovation Policy / 政策分野: R&amp;D Funding &amp; Tax Incentives | Public Procurement &amp; Industrial Policy / 学術区分: News &amp; Official Release / 焦点: 中小企業向けの資金提供機会</x:t>
        </x:is>
      </x:c>
    </x:row>
    <x:row r="20" ht="42" customHeight="1">
      <x:c r="A20" s="75" t="inlineStr">
        <x:is>
          <x:t xml:space="preserve">2026-07-26T21:02:36+09:00</x:t>
        </x:is>
      </x:c>
      <x:c r="B20" s="75" t="inlineStr">
        <x:is>
          <x:t xml:space="preserve">2026-07-22T05:00:56Z</x:t>
        </x:is>
      </x:c>
      <x:c r="C20" s="60" t="inlineStr">
        <x:is>
          <x:t xml:space="preserve">Asia</x:t>
        </x:is>
      </x:c>
      <x:c r="D20" s="60" t="inlineStr">
        <x:is>
          <x:t xml:space="preserve">Japan</x:t>
        </x:is>
      </x:c>
      <x:c r="E20" s="60" t="inlineStr">
        <x:is>
          <x:t xml:space="preserve">Artificial Intelligence</x:t>
        </x:is>
      </x:c>
      <x:c r="F20" s="76" t="n">
        <x:v>5</x:v>
      </x:c>
      <x:c r="G20" s="60" t="inlineStr">
        <x:is>
          <x:t xml:space="preserve">Government</x:t>
        </x:is>
      </x:c>
      <x:c r="H20" s="60" t="inlineStr">
        <x:is>
          <x:t xml:space="preserve">NISTEP Updates</x:t>
        </x:is>
      </x:c>
      <x:c r="I20" s="60" t="inlineStr">
        <x:is>
          <x:t xml:space="preserve">特定科学技術領域動向報告書 -AI（人工知能）- 研究開発インプット編を公表</x:t>
        </x:is>
      </x:c>
      <x:c r="J20" s="60" t="inlineStr">
        <x:is>
          <x:t xml:space="preserve">AI分野における研究開発状況を分析し、基礎データをまとめた報告書を公表。</x:t>
        </x:is>
      </x:c>
      <x:c r="K20" s="60" t="inlineStr">
        <x:is>
          <x:t xml:space="preserve">https://www.nistep.go.jp/archives/63583/</x:t>
        </x:is>
      </x:c>
      <x:c r="L20" s="60" t="inlineStr">
        <x:is>
          <x:t xml:space="preserve">6b6122461584a86ee7a1c595</x:t>
        </x:is>
      </x:c>
      <x:c r="M20" s="75" t="inlineStr">
        <x:is>
          <x:t xml:space="preserve">2026-07-22T14:00:56+09:00</x:t>
        </x:is>
      </x:c>
      <x:c r="N20" s="60" t="inlineStr">
        <x:is>
          <x:t xml:space="preserve">New</x:t>
        </x:is>
      </x:c>
      <x:c r="O20" s="60" t="inlineStr">
        <x:is>
          <x:t xml:space="preserve">枠: Technology Innovation | Innovation Policy / 政策分野: National Programs &amp; Strategy / 学術区分: News &amp; Official Release / 焦点: 人工知能（AI）分野の研究開発インプット</x:t>
        </x:is>
      </x:c>
    </x:row>
    <x:row r="21" ht="42" customHeight="1">
      <x:c r="A21" s="75" t="inlineStr">
        <x:is>
          <x:t xml:space="preserve">2026-07-26T21:02:36+09:00</x:t>
        </x:is>
      </x:c>
      <x:c r="B21" s="75" t="inlineStr">
        <x:is>
          <x:t xml:space="preserve">2026-07-22T00:00:00Z</x:t>
        </x:is>
      </x:c>
      <x:c r="C21" s="60" t="inlineStr">
        <x:is>
          <x:t xml:space="preserve">United States</x:t>
        </x:is>
      </x:c>
      <x:c r="D21" s="60" t="inlineStr">
        <x:is>
          <x:t xml:space="preserve">United States</x:t>
        </x:is>
      </x:c>
      <x:c r="E21" s="60" t="inlineStr">
        <x:is>
          <x:t xml:space="preserve">Artificial Intelligence</x:t>
        </x:is>
      </x:c>
      <x:c r="F21" s="76" t="n">
        <x:v>3</x:v>
      </x:c>
      <x:c r="G21" s="60" t="inlineStr">
        <x:is>
          <x:t xml:space="preserve">Policy Institute</x:t>
        </x:is>
      </x:c>
      <x:c r="H21" s="60" t="inlineStr">
        <x:is>
          <x:t xml:space="preserve">Brookings TechTank</x:t>
        </x:is>
      </x:c>
      <x:c r="I21" s="60" t="inlineStr">
        <x:is>
          <x:t xml:space="preserve">政策が世代ZのAIへの信頼を決定する</x:t>
        </x:is>
      </x:c>
      <x:c r="J21" s="60" t="inlineStr">
        <x:is>
          <x:t xml:space="preserve">世代ZのAIに対する信頼は、PRではなく政策によって決まると論じられている。</x:t>
        </x:is>
      </x:c>
      <x:c r="K21" s="60" t="inlineStr">
        <x:is>
          <x:t xml:space="preserve">https://www.brookings.edu/articles/policy-not-pr-will-determine-gen-zs-trust-in-ai/</x:t>
        </x:is>
      </x:c>
      <x:c r="L21" s="60" t="inlineStr">
        <x:is>
          <x:t xml:space="preserve">61bd55f8ce5a2385a5420260</x:t>
        </x:is>
      </x:c>
      <x:c r="M21" s="75" t="inlineStr">
        <x:is>
          <x:t xml:space="preserve">2026-07-22T09:00:00+09:00</x:t>
        </x:is>
      </x:c>
      <x:c r="N21" s="60" t="inlineStr">
        <x:is>
          <x:t xml:space="preserve">New</x:t>
        </x:is>
      </x:c>
      <x:c r="O21" s="60" t="inlineStr">
        <x:is>
          <x:t xml:space="preserve">枠: Innovation Policy / 政策分野: National Programs &amp; Strategy / 学術区分: News &amp; Official Release / 焦点: AIに対する信頼の構築</x:t>
        </x:is>
      </x:c>
    </x:row>
    <x:row r="22" ht="42" customHeight="1">
      <x:c r="A22" s="75" t="inlineStr">
        <x:is>
          <x:t xml:space="preserve">2026-07-26T21:02:36+09:00</x:t>
        </x:is>
      </x:c>
      <x:c r="B22" s="75" t="inlineStr">
        <x:is>
          <x:t xml:space="preserve">2026-07-22T00:00:00Z</x:t>
        </x:is>
      </x:c>
      <x:c r="C22" s="60" t="inlineStr">
        <x:is>
          <x:t xml:space="preserve">Global</x:t>
        </x:is>
      </x:c>
      <x:c r="D22" s="60" t="inlineStr">
        <x:is>
          <x:t xml:space="preserve">Global</x:t>
        </x:is>
      </x:c>
      <x:c r="E22" s="60" t="inlineStr">
        <x:is>
          <x:t xml:space="preserve">Biotechnology</x:t>
        </x:is>
      </x:c>
      <x:c r="F22" s="76" t="n">
        <x:v>0</x:v>
      </x:c>
      <x:c r="G22" s="60" t="inlineStr">
        <x:is>
          <x:t xml:space="preserve">Scientific Publication</x:t>
        </x:is>
      </x:c>
      <x:c r="H22" s="60" t="inlineStr">
        <x:is>
          <x:t xml:space="preserve">Nature</x:t>
        </x:is>
      </x:c>
      <x:c r="I22" s="60" t="inlineStr">
        <x:is>
          <x:t xml:space="preserve">ブラウンブルヘッドキャットフィッシュのメラノーマは新しい伝染性がんを示す</x:t>
        </x:is>
      </x:c>
      <x:c r="J22" s="60" t="inlineStr">
        <x:is>
          <x:t xml:space="preserve">ブラウンブルヘッドキャットフィッシュの腫瘍と非腫瘍組織の全ゲノム配列解析により、自然に発生する伝染性がんの一種が明らかになった。</x:t>
        </x:is>
      </x:c>
      <x:c r="K22" s="60" t="inlineStr">
        <x:is>
          <x:t xml:space="preserve">https://www.nature.com/articles/s41586-026-10832-w</x:t>
        </x:is>
      </x:c>
      <x:c r="L22" s="60" t="inlineStr">
        <x:is>
          <x:t xml:space="preserve">f9bccca3cabb5ce19441f09d</x:t>
        </x:is>
      </x:c>
      <x:c r="M22" s="75" t="inlineStr">
        <x:is>
          <x:t xml:space="preserve">2026-07-22T09:00:00+09:00</x:t>
        </x:is>
      </x:c>
      <x:c r="N22" s="60" t="inlineStr">
        <x:is>
          <x:t xml:space="preserve">New</x:t>
        </x:is>
      </x:c>
      <x:c r="O22" s="60" t="inlineStr">
        <x:is>
          <x:t xml:space="preserve">枠: Technology Innovation / 学術区分: News &amp; Official Release / 焦点: トランスミッシブルがん</x:t>
        </x:is>
      </x:c>
    </x:row>
    <x:row r="23" ht="42" customHeight="1">
      <x:c r="A23" s="75" t="inlineStr">
        <x:is>
          <x:t xml:space="preserve">2026-07-26T21:02:36+09:00</x:t>
        </x:is>
      </x:c>
      <x:c r="B23" s="75" t="inlineStr">
        <x:is>
          <x:t xml:space="preserve">2026-07-22T00:00:00Z</x:t>
        </x:is>
      </x:c>
      <x:c r="C23" s="60" t="inlineStr">
        <x:is>
          <x:t xml:space="preserve">Global</x:t>
        </x:is>
      </x:c>
      <x:c r="D23" s="60" t="inlineStr">
        <x:is>
          <x:t xml:space="preserve">Global</x:t>
        </x:is>
      </x:c>
      <x:c r="E23" s="60" t="inlineStr">
        <x:is>
          <x:t xml:space="preserve">Quantum</x:t>
        </x:is>
      </x:c>
      <x:c r="F23" s="76" t="n">
        <x:v>0</x:v>
      </x:c>
      <x:c r="G23" s="60" t="inlineStr">
        <x:is>
          <x:t xml:space="preserve">Scientific Publication</x:t>
        </x:is>
      </x:c>
      <x:c r="H23" s="60" t="inlineStr">
        <x:is>
          <x:t xml:space="preserve">Nature</x:t>
        </x:is>
      </x:c>
      <x:c r="I23" s="60" t="inlineStr">
        <x:is>
          <x:t xml:space="preserve">量子パラエレクトリックSrTiO3におけるナノスケール極性テクスチャのイメージング</x:t>
        </x:is>
      </x:c>
      <x:c r="J23" s="60" t="inlineStr">
        <x:is>
          <x:t xml:space="preserve">Cryo-STEMを用いて、SrTiO3が105K以下で周期的な極性ナノドメインを形成することが明らかになった。</x:t>
        </x:is>
      </x:c>
      <x:c r="K23" s="60" t="inlineStr">
        <x:is>
          <x:t xml:space="preserve">https://www.nature.com/articles/s41586-026-10823-x</x:t>
        </x:is>
      </x:c>
      <x:c r="L23" s="60" t="inlineStr">
        <x:is>
          <x:t xml:space="preserve">f12f62aebb861877dd7a5cbf</x:t>
        </x:is>
      </x:c>
      <x:c r="M23" s="75" t="inlineStr">
        <x:is>
          <x:t xml:space="preserve">2026-07-22T09:00:00+09:00</x:t>
        </x:is>
      </x:c>
      <x:c r="N23" s="60" t="inlineStr">
        <x:is>
          <x:t xml:space="preserve">New</x:t>
        </x:is>
      </x:c>
      <x:c r="O23" s="60" t="inlineStr">
        <x:is>
          <x:t xml:space="preserve">枠: Technology Innovation / 学術区分: News &amp; Official Release / 焦点: 量子パラエレクトリックSrTiO3のナノスケール極性テクスチャのイメージング</x:t>
        </x:is>
      </x:c>
    </x:row>
    <x:row r="24" ht="42" customHeight="1">
      <x:c r="A24" s="75" t="inlineStr">
        <x:is>
          <x:t xml:space="preserve">2026-07-26T21:02:36+09:00</x:t>
        </x:is>
      </x:c>
      <x:c r="B24" s="75" t="inlineStr">
        <x:is>
          <x:t xml:space="preserve">2026-07-22T00:00:00Z</x:t>
        </x:is>
      </x:c>
      <x:c r="C24" s="60" t="inlineStr">
        <x:is>
          <x:t xml:space="preserve">Global</x:t>
        </x:is>
      </x:c>
      <x:c r="D24" s="60" t="inlineStr">
        <x:is>
          <x:t xml:space="preserve">Global</x:t>
        </x:is>
      </x:c>
      <x:c r="E24" s="60" t="inlineStr">
        <x:is>
          <x:t xml:space="preserve">Biotechnology</x:t>
        </x:is>
      </x:c>
      <x:c r="F24" s="76" t="n">
        <x:v>0</x:v>
      </x:c>
      <x:c r="G24" s="60" t="inlineStr">
        <x:is>
          <x:t xml:space="preserve">Scientific Publication</x:t>
        </x:is>
      </x:c>
      <x:c r="H24" s="60" t="inlineStr">
        <x:is>
          <x:t xml:space="preserve">Nature</x:t>
        </x:is>
      </x:c>
      <x:c r="I24" s="60" t="inlineStr">
        <x:is>
          <x:t xml:space="preserve">ブラウンブルヘッドキャットフィッシュのメラノーマは新しい伝染性がんを示す</x:t>
        </x:is>
      </x:c>
      <x:c r="J24" s="60" t="inlineStr">
        <x:is>
          <x:t xml:space="preserve">ブラウンブルヘッドキャットフィッシュの腫瘍と非腫瘍組織の全ゲノム配列解析により、自然に発生する伝染性がんの一種が明らかになった。</x:t>
        </x:is>
      </x:c>
      <x:c r="K24" s="60" t="inlineStr">
        <x:is>
          <x:t xml:space="preserve">https://www.nature.com/articles/s41586-026-10828-6</x:t>
        </x:is>
      </x:c>
      <x:c r="L24" s="60" t="inlineStr">
        <x:is>
          <x:t xml:space="preserve">3c774b8bd5e287725e43b3b5</x:t>
        </x:is>
      </x:c>
      <x:c r="M24" s="75" t="inlineStr">
        <x:is>
          <x:t xml:space="preserve">2026-07-22T09:00:00+09:00</x:t>
        </x:is>
      </x:c>
      <x:c r="N24" s="60" t="inlineStr">
        <x:is>
          <x:t xml:space="preserve">New</x:t>
        </x:is>
      </x:c>
      <x:c r="O24" s="60" t="inlineStr">
        <x:is>
          <x:t xml:space="preserve">枠: Technology Innovation / 学術区分: News &amp; Official Release / 焦点: トランスミッシブルがんの発見</x:t>
        </x:is>
      </x:c>
    </x:row>
    <x:row r="25" ht="42" customHeight="1">
      <x:c r="A25" s="75" t="inlineStr">
        <x:is>
          <x:t xml:space="preserve">2026-07-26T21:02:36+09:00</x:t>
        </x:is>
      </x:c>
      <x:c r="B25" s="75" t="inlineStr">
        <x:is>
          <x:t xml:space="preserve">2026-07-22T00:00:00Z</x:t>
        </x:is>
      </x:c>
      <x:c r="C25" s="60" t="inlineStr">
        <x:is>
          <x:t xml:space="preserve">Global</x:t>
        </x:is>
      </x:c>
      <x:c r="D25" s="60" t="inlineStr">
        <x:is>
          <x:t xml:space="preserve">Global</x:t>
        </x:is>
      </x:c>
      <x:c r="E25" s="60" t="inlineStr">
        <x:is>
          <x:t xml:space="preserve">Artificial Intelligence</x:t>
        </x:is>
      </x:c>
      <x:c r="F25" s="76" t="n">
        <x:v>0</x:v>
      </x:c>
      <x:c r="G25" s="60" t="inlineStr">
        <x:is>
          <x:t xml:space="preserve">Scientific Publication</x:t>
        </x:is>
      </x:c>
      <x:c r="H25" s="60" t="inlineStr">
        <x:is>
          <x:t xml:space="preserve">Nature</x:t>
        </x:is>
      </x:c>
      <x:c r="I25" s="60" t="inlineStr">
        <x:is>
          <x:t xml:space="preserve">AIを使って数分でグラフィカルアブストラクトを作成する方法</x:t>
        </x:is>
      </x:c>
      <x:c r="J25" s="60" t="inlineStr">
        <x:is>
          <x:t xml:space="preserve">人工知能は、グラフィックデザインの経験がない人々にとって民主化の力となる。</x:t>
        </x:is>
      </x:c>
      <x:c r="K25" s="60" t="inlineStr">
        <x:is>
          <x:t xml:space="preserve">https://www.nature.com/articles/d41586-026-02072-9</x:t>
        </x:is>
      </x:c>
      <x:c r="L25" s="60" t="inlineStr">
        <x:is>
          <x:t xml:space="preserve">b2a4fe860295587fbfbde689</x:t>
        </x:is>
      </x:c>
      <x:c r="M25" s="75" t="inlineStr">
        <x:is>
          <x:t xml:space="preserve">2026-07-22T09:00:00+09:00</x:t>
        </x:is>
      </x:c>
      <x:c r="N25" s="60" t="inlineStr">
        <x:is>
          <x:t xml:space="preserve">New</x:t>
        </x:is>
      </x:c>
      <x:c r="O25" s="60" t="inlineStr">
        <x:is>
          <x:t xml:space="preserve">枠: Technology Innovation / 学術区分: News &amp; Official Release / 焦点: AIを用いたグラフィカルアブストラクトの作成</x:t>
        </x:is>
      </x:c>
    </x:row>
    <x:row r="26" ht="42" customHeight="1">
      <x:c r="A26" s="75" t="inlineStr">
        <x:is>
          <x:t xml:space="preserve">2026-07-26T21:02:36+09:00</x:t>
        </x:is>
      </x:c>
      <x:c r="B26" s="75" t="inlineStr">
        <x:is>
          <x:t xml:space="preserve">2026-07-22T00:00:00Z</x:t>
        </x:is>
      </x:c>
      <x:c r="C26" s="60" t="inlineStr">
        <x:is>
          <x:t xml:space="preserve">Global</x:t>
        </x:is>
      </x:c>
      <x:c r="D26" s="60" t="inlineStr">
        <x:is>
          <x:t xml:space="preserve">Global</x:t>
        </x:is>
      </x:c>
      <x:c r="E26" s="60" t="inlineStr">
        <x:is>
          <x:t xml:space="preserve">Artificial Intelligence</x:t>
        </x:is>
      </x:c>
      <x:c r="F26" s="76" t="n">
        <x:v>0</x:v>
      </x:c>
      <x:c r="G26" s="60" t="inlineStr">
        <x:is>
          <x:t xml:space="preserve">Scientific Publication</x:t>
        </x:is>
      </x:c>
      <x:c r="H26" s="60" t="inlineStr">
        <x:is>
          <x:t xml:space="preserve">Nature</x:t>
        </x:is>
      </x:c>
      <x:c r="I26" s="60" t="inlineStr">
        <x:is>
          <x:t xml:space="preserve">「良いデザインには熟練が必要」：科学的イラストレーターがAIの未来を描く</x:t>
        </x:is>
      </x:c>
      <x:c r="J26" s="60" t="inlineStr">
        <x:is>
          <x:t xml:space="preserve">Natureが5人のアーティストに科学を視覚的に伝えるアプローチについてインタビューした。</x:t>
        </x:is>
      </x:c>
      <x:c r="K26" s="60" t="inlineStr">
        <x:is>
          <x:t xml:space="preserve">https://www.nature.com/articles/d41586-026-02230-z</x:t>
        </x:is>
      </x:c>
      <x:c r="L26" s="60" t="inlineStr">
        <x:is>
          <x:t xml:space="preserve">108461ddd7bd10edd9652aef</x:t>
        </x:is>
      </x:c>
      <x:c r="M26" s="75" t="inlineStr">
        <x:is>
          <x:t xml:space="preserve">2026-07-22T09:00:00+09:00</x:t>
        </x:is>
      </x:c>
      <x:c r="N26" s="60" t="inlineStr">
        <x:is>
          <x:t xml:space="preserve">New</x:t>
        </x:is>
      </x:c>
      <x:c r="O26" s="60" t="inlineStr">
        <x:is>
          <x:t xml:space="preserve">枠: Technology Innovation / 学術区分: News &amp; Official Release / 焦点: 科学的イラストレーションにおけるAIの未来</x:t>
        </x:is>
      </x:c>
    </x:row>
    <x:row r="27" ht="42" customHeight="1">
      <x:c r="A27" s="75" t="inlineStr">
        <x:is>
          <x:t xml:space="preserve">2026-07-26T21:02:36+09:00</x:t>
        </x:is>
      </x:c>
      <x:c r="B27" s="75" t="inlineStr">
        <x:is>
          <x:t xml:space="preserve">2026-07-22T00:00:00Z</x:t>
        </x:is>
      </x:c>
      <x:c r="C27" s="60" t="inlineStr">
        <x:is>
          <x:t xml:space="preserve">Global</x:t>
        </x:is>
      </x:c>
      <x:c r="D27" s="60" t="inlineStr">
        <x:is>
          <x:t xml:space="preserve">Global</x:t>
        </x:is>
      </x:c>
      <x:c r="E27" s="60" t="inlineStr">
        <x:is>
          <x:t xml:space="preserve">Biotechnology | Artificial Intelligence</x:t>
        </x:is>
      </x:c>
      <x:c r="F27" s="76" t="n">
        <x:v>0</x:v>
      </x:c>
      <x:c r="G27" s="60" t="inlineStr">
        <x:is>
          <x:t xml:space="preserve">Scientific Publication</x:t>
        </x:is>
      </x:c>
      <x:c r="H27" s="60" t="inlineStr">
        <x:is>
          <x:t xml:space="preserve">Nature</x:t>
        </x:is>
      </x:c>
      <x:c r="I27" s="60" t="inlineStr">
        <x:is>
          <x:t xml:space="preserve">AIがCRISPR複合体の相互作用を特定し、DNA編集の特異性を向上させる</x:t>
        </x:is>
      </x:c>
      <x:c r="J27" s="60" t="inlineStr">
        <x:is>
          <x:t xml:space="preserve">AlphaFold3による分子接触の予測が、DNAターゲット配列に対する酵素の選択性を改善するために使用された。</x:t>
        </x:is>
      </x:c>
      <x:c r="K27" s="60" t="inlineStr">
        <x:is>
          <x:t xml:space="preserve">https://www.nature.com/articles/d41586-026-02042-1</x:t>
        </x:is>
      </x:c>
      <x:c r="L27" s="60" t="inlineStr">
        <x:is>
          <x:t xml:space="preserve">ab4fcaf4ee310e08612eba0d</x:t>
        </x:is>
      </x:c>
      <x:c r="M27" s="75" t="inlineStr">
        <x:is>
          <x:t xml:space="preserve">2026-07-22T09:00:00+09:00</x:t>
        </x:is>
      </x:c>
      <x:c r="N27" s="60" t="inlineStr">
        <x:is>
          <x:t xml:space="preserve">New</x:t>
        </x:is>
      </x:c>
      <x:c r="O27" s="60" t="inlineStr">
        <x:is>
          <x:t xml:space="preserve">枠: Technology Innovation / 学術区分: News &amp; Official Release / 焦点: CRISPR複合体における相互作用の特定</x:t>
        </x:is>
      </x:c>
    </x:row>
    <x:row r="28" ht="42" customHeight="1">
      <x:c r="A28" s="75" t="inlineStr">
        <x:is>
          <x:t xml:space="preserve">2026-07-26T21:02:36+09:00</x:t>
        </x:is>
      </x:c>
      <x:c r="B28" s="75" t="inlineStr">
        <x:is>
          <x:t xml:space="preserve">2026-07-22T00:00:00Z</x:t>
        </x:is>
      </x:c>
      <x:c r="C28" s="60" t="inlineStr">
        <x:is>
          <x:t xml:space="preserve">Global</x:t>
        </x:is>
      </x:c>
      <x:c r="D28" s="60" t="inlineStr">
        <x:is>
          <x:t xml:space="preserve">Global</x:t>
        </x:is>
      </x:c>
      <x:c r="E28" s="60" t="inlineStr">
        <x:is>
          <x:t xml:space="preserve">Biotechnology</x:t>
        </x:is>
      </x:c>
      <x:c r="F28" s="76" t="n">
        <x:v>0</x:v>
      </x:c>
      <x:c r="G28" s="60" t="inlineStr">
        <x:is>
          <x:t xml:space="preserve">Scientific Publication</x:t>
        </x:is>
      </x:c>
      <x:c r="H28" s="60" t="inlineStr">
        <x:is>
          <x:t xml:space="preserve">Nature</x:t>
        </x:is>
      </x:c>
      <x:c r="I28" s="60" t="inlineStr">
        <x:is>
          <x:t xml:space="preserve">背景遺伝子と新しい変異ががん進化を導く</x:t>
        </x:is>
      </x:c>
      <x:c r="J28" s="60" t="inlineStr">
        <x:is>
          <x:t xml:space="preserve">マウスでの腫瘍進化の再実行により、DNA損傷後のがんの発展が示された。</x:t>
        </x:is>
      </x:c>
      <x:c r="K28" s="60" t="inlineStr">
        <x:is>
          <x:t xml:space="preserve">https://www.nature.com/articles/d41586-026-02155-7</x:t>
        </x:is>
      </x:c>
      <x:c r="L28" s="60" t="inlineStr">
        <x:is>
          <x:t xml:space="preserve">74243d6e7e201860f4f79008</x:t>
        </x:is>
      </x:c>
      <x:c r="M28" s="75" t="inlineStr">
        <x:is>
          <x:t xml:space="preserve">2026-07-22T09:00:00+09:00</x:t>
        </x:is>
      </x:c>
      <x:c r="N28" s="60" t="inlineStr">
        <x:is>
          <x:t xml:space="preserve">New</x:t>
        </x:is>
      </x:c>
      <x:c r="O28" s="60" t="inlineStr">
        <x:is>
          <x:t xml:space="preserve">枠: Technology Innovation / 学術区分: News &amp; Official Release / 焦点: がん進化における背景遺伝子と新しい変異の相互作用</x:t>
        </x:is>
      </x:c>
    </x:row>
    <x:row r="29" ht="42" customHeight="1">
      <x:c r="A29" s="75" t="inlineStr">
        <x:is>
          <x:t xml:space="preserve">2026-07-26T21:02:36+09:00</x:t>
        </x:is>
      </x:c>
      <x:c r="B29" s="75" t="inlineStr">
        <x:is>
          <x:t xml:space="preserve">2026-07-22T00:00:00Z</x:t>
        </x:is>
      </x:c>
      <x:c r="C29" s="60" t="inlineStr">
        <x:is>
          <x:t xml:space="preserve">Global</x:t>
        </x:is>
      </x:c>
      <x:c r="D29" s="60" t="inlineStr">
        <x:is>
          <x:t xml:space="preserve">Global</x:t>
        </x:is>
      </x:c>
      <x:c r="E29" s="60" t="inlineStr">
        <x:is>
          <x:t xml:space="preserve">Artificial Intelligence</x:t>
        </x:is>
      </x:c>
      <x:c r="F29" s="76" t="n">
        <x:v>0</x:v>
      </x:c>
      <x:c r="G29" s="60" t="inlineStr">
        <x:is>
          <x:t xml:space="preserve">Scientific Publication</x:t>
        </x:is>
      </x:c>
      <x:c r="H29" s="60" t="inlineStr">
        <x:is>
          <x:t xml:space="preserve">Nature</x:t>
        </x:is>
      </x:c>
      <x:c r="I29" s="60" t="inlineStr">
        <x:is>
          <x:t xml:space="preserve">科学におけるAI画像のミスを避けるための3つのヒント</x:t>
        </x:is>
      </x:c>
      <x:c r="J29" s="60" t="inlineStr">
        <x:is>
          <x:t xml:space="preserve">AIツールはグラフィック作成に役立つが、エラーを引き起こす可能性がある。</x:t>
        </x:is>
      </x:c>
      <x:c r="K29" s="60" t="inlineStr">
        <x:is>
          <x:t xml:space="preserve">https://www.nature.com/articles/d41586-026-02233-w</x:t>
        </x:is>
      </x:c>
      <x:c r="L29" s="60" t="inlineStr">
        <x:is>
          <x:t xml:space="preserve">3333c16762502cf03b987a99</x:t>
        </x:is>
      </x:c>
      <x:c r="M29" s="75" t="inlineStr">
        <x:is>
          <x:t xml:space="preserve">2026-07-22T09:00:00+09:00</x:t>
        </x:is>
      </x:c>
      <x:c r="N29" s="60" t="inlineStr">
        <x:is>
          <x:t xml:space="preserve">New</x:t>
        </x:is>
      </x:c>
      <x:c r="O29" s="60" t="inlineStr">
        <x:is>
          <x:t xml:space="preserve">枠: Technology Innovation / 学術区分: News &amp; Official Release / 焦点: 科学におけるAI画像のミスを避けるためのヒント</x:t>
        </x:is>
      </x:c>
    </x:row>
    <x:row r="30" ht="42" customHeight="1">
      <x:c r="A30" s="75" t="inlineStr">
        <x:is>
          <x:t xml:space="preserve">2026-07-26T21:02:36+09:00</x:t>
        </x:is>
      </x:c>
      <x:c r="B30" s="75" t="inlineStr">
        <x:is>
          <x:t xml:space="preserve">2026-07-22T00:00:00Z</x:t>
        </x:is>
      </x:c>
      <x:c r="C30" s="60" t="inlineStr">
        <x:is>
          <x:t xml:space="preserve">Global</x:t>
        </x:is>
      </x:c>
      <x:c r="D30" s="60" t="inlineStr">
        <x:is>
          <x:t xml:space="preserve">Global</x:t>
        </x:is>
      </x:c>
      <x:c r="E30" s="60" t="inlineStr">
        <x:is>
          <x:t xml:space="preserve">Artificial Intelligence</x:t>
        </x:is>
      </x:c>
      <x:c r="F30" s="76" t="n">
        <x:v>0</x:v>
      </x:c>
      <x:c r="G30" s="60" t="inlineStr">
        <x:is>
          <x:t xml:space="preserve">Scientific Publication</x:t>
        </x:is>
      </x:c>
      <x:c r="H30" s="60" t="inlineStr">
        <x:is>
          <x:t xml:space="preserve">Nature</x:t>
        </x:is>
      </x:c>
      <x:c r="I30" s="60" t="inlineStr">
        <x:is>
          <x:t xml:space="preserve">日々のブリーフィング：世界はついにポリオを根絶できるか？</x:t>
        </x:is>
      </x:c>
      <x:c r="J30" s="60" t="inlineStr">
        <x:is>
          <x:t xml:space="preserve">一部の研究者は、現在の根絶戦略が時代遅れであると考えている。</x:t>
        </x:is>
      </x:c>
      <x:c r="K30" s="60" t="inlineStr">
        <x:is>
          <x:t xml:space="preserve">https://www.nature.com/articles/d41586-026-02302-0</x:t>
        </x:is>
      </x:c>
      <x:c r="L30" s="60" t="inlineStr">
        <x:is>
          <x:t xml:space="preserve">a6bb3e839151ea803a445830</x:t>
        </x:is>
      </x:c>
      <x:c r="M30" s="75" t="inlineStr">
        <x:is>
          <x:t xml:space="preserve">2026-07-22T09:00:00+09:00</x:t>
        </x:is>
      </x:c>
      <x:c r="N30" s="60" t="inlineStr">
        <x:is>
          <x:t xml:space="preserve">New</x:t>
        </x:is>
      </x:c>
      <x:c r="O30" s="60" t="inlineStr">
        <x:is>
          <x:t xml:space="preserve">枠: Technology Innovation / 学術区分: News &amp; Official Release / 焦点: ポリオ根絶に関する研究</x:t>
        </x:is>
      </x:c>
    </x:row>
    <x:row r="31" ht="42" customHeight="1">
      <x:c r="A31" s="75" t="inlineStr">
        <x:is>
          <x:t xml:space="preserve">2026-07-26T21:02:36+09:00</x:t>
        </x:is>
      </x:c>
      <x:c r="B31" s="75" t="inlineStr">
        <x:is>
          <x:t xml:space="preserve">2026-07-21T22:35:45Z</x:t>
        </x:is>
      </x:c>
      <x:c r="C31" s="60" t="inlineStr">
        <x:is>
          <x:t xml:space="preserve">Global</x:t>
        </x:is>
      </x:c>
      <x:c r="D31" s="60" t="inlineStr">
        <x:is>
          <x:t xml:space="preserve">United States</x:t>
        </x:is>
      </x:c>
      <x:c r="E31" s="60" t="inlineStr">
        <x:is>
          <x:t xml:space="preserve">Artificial Intelligence</x:t>
        </x:is>
      </x:c>
      <x:c r="F31" s="76" t="n">
        <x:v>0</x:v>
      </x:c>
      <x:c r="G31" s="60" t="inlineStr">
        <x:is>
          <x:t xml:space="preserve">Official Company</x:t>
        </x:is>
      </x:c>
      <x:c r="H31" s="60" t="inlineStr">
        <x:is>
          <x:t xml:space="preserve">NVIDIA Blog</x:t>
        </x:is>
      </x:c>
      <x:c r="I31" s="60" t="inlineStr">
        <x:is>
          <x:t xml:space="preserve">フォートワースにて：WistronがNVIDIA AIシステムを生産するための先進的製造工場を開設</x:t>
        </x:is>
      </x:c>
      <x:c r="J31" s="60" t="inlineStr">
        <x:is>
          <x:t xml:space="preserve">Wistronがテキサス州フォートワースに324,000平方フィートの製造施設を開設し、AIシステムのためのスーパーチップを生産する。</x:t>
        </x:is>
      </x:c>
      <x:c r="K31" s="60" t="inlineStr">
        <x:is>
          <x:t xml:space="preserve">https://blogs.nvidia.com/blog/wistron-manufacturing-texas/</x:t>
        </x:is>
      </x:c>
      <x:c r="L31" s="60" t="inlineStr">
        <x:is>
          <x:t xml:space="preserve">21f1e1f3e19b1a5bf0af3cb7</x:t>
        </x:is>
      </x:c>
      <x:c r="M31" s="75" t="inlineStr">
        <x:is>
          <x:t xml:space="preserve">2026-07-22T07:35:45+09:00</x:t>
        </x:is>
      </x:c>
      <x:c r="N31" s="60" t="inlineStr">
        <x:is>
          <x:t xml:space="preserve">New</x:t>
        </x:is>
      </x:c>
      <x:c r="O31" s="60" t="inlineStr">
        <x:is>
          <x:t xml:space="preserve">枠: Technology Innovation / 学術区分: News &amp; Official Release / 焦点: NVIDIA AIシステムの製造</x:t>
        </x:is>
      </x:c>
    </x:row>
    <x:row r="32" ht="42" customHeight="1">
      <x:c r="A32" s="75" t="inlineStr">
        <x:is>
          <x:t xml:space="preserve">2026-07-26T21:02:36+09:00</x:t>
        </x:is>
      </x:c>
      <x:c r="B32" s="75" t="inlineStr">
        <x:is>
          <x:t xml:space="preserve">2026-07-21T15:05:11Z</x:t>
        </x:is>
      </x:c>
      <x:c r="C32" s="60" t="inlineStr">
        <x:is>
          <x:t xml:space="preserve">EU &amp; Europe</x:t>
        </x:is>
      </x:c>
      <x:c r="D32" s="60" t="inlineStr">
        <x:is>
          <x:t xml:space="preserve">United Kingdom</x:t>
        </x:is>
      </x:c>
      <x:c r="E32" s="60" t="inlineStr">
        <x:is>
          <x:t xml:space="preserve">Semiconductors &amp; Telecom</x:t>
        </x:is>
      </x:c>
      <x:c r="F32" s="76" t="n">
        <x:v>3</x:v>
      </x:c>
      <x:c r="G32" s="60" t="inlineStr">
        <x:is>
          <x:t xml:space="preserve">Government</x:t>
        </x:is>
      </x:c>
      <x:c r="H32" s="60" t="inlineStr">
        <x:is>
          <x:t xml:space="preserve">UK DSIT</x:t>
        </x:is>
      </x:c>
      <x:c r="I32" s="60" t="inlineStr">
        <x:is>
          <x:t xml:space="preserve">固定通信近代化憲章に関する政策文書</x:t>
        </x:is>
      </x:c>
      <x:c r="J32" s="60" t="inlineStr">
        <x:is>
          <x:t xml:space="preserve">通信事業者が現在および将来の固定通信近代化を実施する際に従うべき手順を示した文書。</x:t>
        </x:is>
      </x:c>
      <x:c r="K32" s="60" t="inlineStr">
        <x:is>
          <x:t xml:space="preserve">https://www.gov.uk/government/publications/fixed-telecoms-modernisation-charter</x:t>
        </x:is>
      </x:c>
      <x:c r="L32" s="60" t="inlineStr">
        <x:is>
          <x:t xml:space="preserve">d5e4431b57fcb4b6271f6c72</x:t>
        </x:is>
      </x:c>
      <x:c r="M32" s="75" t="inlineStr">
        <x:is>
          <x:t xml:space="preserve">2026-07-22T00:05:11+09:00</x:t>
        </x:is>
      </x:c>
      <x:c r="N32" s="60" t="inlineStr">
        <x:is>
          <x:t xml:space="preserve">New</x:t>
        </x:is>
      </x:c>
      <x:c r="O32" s="60" t="inlineStr">
        <x:is>
          <x:t xml:space="preserve">枠: Innovation Policy / 政策分野: National Programs &amp; Strategy / 学術区分: News &amp; Official Release / 焦点: 固定通信の近代化手順</x:t>
        </x:is>
      </x:c>
    </x:row>
    <x:row r="33" ht="42" customHeight="1">
      <x:c r="A33" s="75" t="inlineStr">
        <x:is>
          <x:t xml:space="preserve">2026-07-26T21:02:36+09:00</x:t>
        </x:is>
      </x:c>
      <x:c r="B33" s="75" t="inlineStr">
        <x:is>
          <x:t xml:space="preserve">2026-07-21T15:05:07Z</x:t>
        </x:is>
      </x:c>
      <x:c r="C33" s="60" t="inlineStr">
        <x:is>
          <x:t xml:space="preserve">EU &amp; Europe</x:t>
        </x:is>
      </x:c>
      <x:c r="D33" s="60" t="inlineStr">
        <x:is>
          <x:t xml:space="preserve">United Kingdom</x:t>
        </x:is>
      </x:c>
      <x:c r="E33" s="60" t="inlineStr">
        <x:is>
          <x:t xml:space="preserve">Semiconductors &amp; Telecom</x:t>
        </x:is>
      </x:c>
      <x:c r="F33" s="76" t="n">
        <x:v>3</x:v>
      </x:c>
      <x:c r="G33" s="60" t="inlineStr">
        <x:is>
          <x:t xml:space="preserve">Government</x:t>
        </x:is>
      </x:c>
      <x:c r="H33" s="60" t="inlineStr">
        <x:is>
          <x:t xml:space="preserve">UK DSIT</x:t>
        </x:is>
      </x:c>
      <x:c r="I33" s="60" t="inlineStr">
        <x:is>
          <x:t xml:space="preserve">通信近代化：重要国家インフラ憲章に関する政策文書</x:t>
        </x:is>
      </x:c>
      <x:c r="J33" s="60" t="inlineStr">
        <x:is>
          <x:t xml:space="preserve">通信事業者が通信近代化中に重要国家インフラを保護するためのアプローチを示した文書。</x:t>
        </x:is>
      </x:c>
      <x:c r="K33" s="60" t="inlineStr">
        <x:is>
          <x:t xml:space="preserve">https://www.gov.uk/government/publications/telecoms-modernisation-critical-national-infrastructure-charter</x:t>
        </x:is>
      </x:c>
      <x:c r="L33" s="60" t="inlineStr">
        <x:is>
          <x:t xml:space="preserve">aafa3a246656ccda64dd93c4</x:t>
        </x:is>
      </x:c>
      <x:c r="M33" s="75" t="inlineStr">
        <x:is>
          <x:t xml:space="preserve">2026-07-22T00:05:07+09:00</x:t>
        </x:is>
      </x:c>
      <x:c r="N33" s="60" t="inlineStr">
        <x:is>
          <x:t xml:space="preserve">New</x:t>
        </x:is>
      </x:c>
      <x:c r="O33" s="60" t="inlineStr">
        <x:is>
          <x:t xml:space="preserve">枠: Innovation Policy / 政策分野: National Programs &amp; Strategy / 学術区分: News &amp; Official Release / 焦点: 重要国家インフラの保護方針</x:t>
        </x:is>
      </x:c>
    </x:row>
    <x:row r="34" ht="42" customHeight="1">
      <x:c r="A34" s="75" t="inlineStr">
        <x:is>
          <x:t xml:space="preserve">2026-07-26T18:56:03+09:00</x:t>
        </x:is>
      </x:c>
      <x:c r="B34" s="75" t="inlineStr">
        <x:is>
          <x:t xml:space="preserve">2026-07-21T14:48:28Z</x:t>
        </x:is>
      </x:c>
      <x:c r="C34" s="60" t="inlineStr">
        <x:is>
          <x:t xml:space="preserve">EU &amp; Europe</x:t>
        </x:is>
      </x:c>
      <x:c r="D34" s="60" t="inlineStr">
        <x:is>
          <x:t xml:space="preserve">Global</x:t>
        </x:is>
      </x:c>
      <x:c r="E34" s="60" t="inlineStr">
        <x:is>
          <x:t xml:space="preserve">Fusion Energy</x:t>
        </x:is>
      </x:c>
      <x:c r="F34" s="76" t="n">
        <x:v>3</x:v>
      </x:c>
      <x:c r="G34" s="60" t="inlineStr">
        <x:is>
          <x:t xml:space="preserve">Industry Association</x:t>
        </x:is>
      </x:c>
      <x:c r="H34" s="60" t="inlineStr">
        <x:is>
          <x:t xml:space="preserve">Fusion Industry Association</x:t>
        </x:is>
      </x:c>
      <x:c r="I34" s="60" t="inlineStr">
        <x:is>
          <x:t xml:space="preserve">FIA、核融合のためのEU資金調達の道筋を示す</x:t>
        </x:is>
      </x:c>
      <x:c r="J34" s="60" t="inlineStr">
        <x:is>
          <x:t xml:space="preserve">Fusion Industry Associationが商業核融合エネルギーのためのEU資金調達のロードマップを発表。</x:t>
        </x:is>
      </x:c>
      <x:c r="K34" s="60" t="inlineStr">
        <x:is>
          <x:t xml:space="preserve">https://www.fusionindustryassociation.org/fia-outlines-eu-financing-pathway-for-fusion/?utm_source=rss&amp;utm_medium=rss&amp;utm_campaign=fia-outlines-eu-financing-pathway-for-fusion</x:t>
        </x:is>
      </x:c>
      <x:c r="L34" s="60" t="inlineStr">
        <x:is>
          <x:t xml:space="preserve">88af233d904d670250fa5a31</x:t>
        </x:is>
      </x:c>
      <x:c r="M34" s="75" t="inlineStr">
        <x:is>
          <x:t xml:space="preserve">2026-07-26T18:56:03+09:00</x:t>
        </x:is>
      </x:c>
      <x:c r="N34" s="60" t="inlineStr">
        <x:is>
          <x:t xml:space="preserve">New</x:t>
        </x:is>
      </x:c>
      <x:c r="O34" s="60" t="inlineStr">
        <x:is>
          <x:t xml:space="preserve">枠: Innovation Policy / 政策分野: R&amp;D Funding &amp; Tax Incentives / 学術区分: News &amp; Official Release / 焦点: EUの核融合エネルギー商業化に向けた資金調達</x:t>
        </x:is>
      </x:c>
    </x:row>
    <x:row r="35" ht="42" customHeight="1">
      <x:c r="A35" s="75" t="inlineStr">
        <x:is>
          <x:t xml:space="preserve">2026-07-26T21:02:36+09:00</x:t>
        </x:is>
      </x:c>
      <x:c r="B35" s="75" t="inlineStr">
        <x:is>
          <x:t xml:space="preserve">2026-07-21T00:00:00Z</x:t>
        </x:is>
      </x:c>
      <x:c r="C35" s="60" t="inlineStr">
        <x:is>
          <x:t xml:space="preserve">Global</x:t>
        </x:is>
      </x:c>
      <x:c r="D35" s="60" t="inlineStr">
        <x:is>
          <x:t xml:space="preserve">Global</x:t>
        </x:is>
      </x:c>
      <x:c r="E35" s="60" t="inlineStr">
        <x:is>
          <x:t xml:space="preserve">Quantum</x:t>
        </x:is>
      </x:c>
      <x:c r="F35" s="76" t="n">
        <x:v>0</x:v>
      </x:c>
      <x:c r="G35" s="60" t="inlineStr">
        <x:is>
          <x:t xml:space="preserve">Conference Paper</x:t>
        </x:is>
      </x:c>
      <x:c r="H35" s="60" t="inlineStr">
        <x:is>
          <x:t xml:space="preserve">OpenAlex Conference Papers</x:t>
        </x:is>
      </x:c>
      <x:c r="I35" s="60" t="inlineStr">
        <x:is>
          <x:t xml:space="preserve">量子機械学習による心血管疾患リスク予測の向上</x:t>
        </x:is>
      </x:c>
      <x:c r="J35" s="60" t="inlineStr">
        <x:is>
          <x:t xml:space="preserve">この研究は、量子アルゴリズムを用いて心血管疾患の予測を行うモデルを探求しており、量子サポートベクターマシンや量子ニューラルネットワークを活用しています。</x:t>
        </x:is>
      </x:c>
      <x:c r="K35" s="60" t="inlineStr">
        <x:is>
          <x:t xml:space="preserve">https://doi.org/10.3390/engproc2026150039</x:t>
        </x:is>
      </x:c>
      <x:c r="L35" s="60" t="inlineStr">
        <x:is>
          <x:t xml:space="preserve">1cd467f8ebb1388daedc245f</x:t>
        </x:is>
      </x:c>
      <x:c r="M35" s="75" t="inlineStr">
        <x:is>
          <x:t xml:space="preserve">2026-07-21T09:00:00+09:00</x:t>
        </x:is>
      </x:c>
      <x:c r="N35" s="60" t="inlineStr">
        <x:is>
          <x:t xml:space="preserve">New</x:t>
        </x:is>
      </x:c>
      <x:c r="O35" s="60" t="inlineStr">
        <x:is>
          <x:t xml:space="preserve">枠: Technology Innovation / 学術区分: Conference Paper / 査読表示: Conference proceedings — review status varies / 焦点: 量子機械学習による心血管疾患リスク予測 / OpenAlex record; work type=conference-paper; citations=0</x:t>
        </x:is>
      </x:c>
    </x:row>
    <x:row r="36" ht="42" customHeight="1">
      <x:c r="A36" s="75" t="inlineStr">
        <x:is>
          <x:t xml:space="preserve">2026-07-26T21:02:36+09:00</x:t>
        </x:is>
      </x:c>
      <x:c r="B36" s="75" t="inlineStr">
        <x:is>
          <x:t xml:space="preserve">2026-07-20T21:06:27Z</x:t>
        </x:is>
      </x:c>
      <x:c r="C36" s="60" t="inlineStr">
        <x:is>
          <x:t xml:space="preserve">United States</x:t>
        </x:is>
      </x:c>
      <x:c r="D36" s="60" t="inlineStr">
        <x:is>
          <x:t xml:space="preserve">United States</x:t>
        </x:is>
      </x:c>
      <x:c r="E36" s="60" t="inlineStr">
        <x:is>
          <x:t xml:space="preserve">Artificial Intelligence</x:t>
        </x:is>
      </x:c>
      <x:c r="F36" s="76" t="n">
        <x:v>3</x:v>
      </x:c>
      <x:c r="G36" s="60" t="inlineStr">
        <x:is>
          <x:t xml:space="preserve">Policy Institute</x:t>
        </x:is>
      </x:c>
      <x:c r="H36" s="60" t="inlineStr">
        <x:is>
          <x:t xml:space="preserve">Brookings TechTank</x:t>
        </x:is>
      </x:c>
      <x:c r="I36" s="60" t="inlineStr">
        <x:is>
          <x:t xml:space="preserve">AIの借りた専門知識に対処する教育と研究政策</x:t>
        </x:is>
      </x:c>
      <x:c r="J36" s="60" t="inlineStr">
        <x:is>
          <x:t xml:space="preserve">教育政策が短期的な生産性と長期的な認知発展の間の緊張にどのように対応すべきかについて論じています。</x:t>
        </x:is>
      </x:c>
      <x:c r="K36" s="60" t="inlineStr">
        <x:is>
          <x:t xml:space="preserve">https://brookings.edu/articles/repaying-the-inheritance-how-education-and-research-policy-can-address-ais-borrowed-expertise</x:t>
        </x:is>
      </x:c>
      <x:c r="L36" s="60" t="inlineStr">
        <x:is>
          <x:t xml:space="preserve">42183313e1c951c0483c0d62</x:t>
        </x:is>
      </x:c>
      <x:c r="M36" s="75" t="inlineStr">
        <x:is>
          <x:t xml:space="preserve">2026-07-21T06:06:27+09:00</x:t>
        </x:is>
      </x:c>
      <x:c r="N36" s="60" t="inlineStr">
        <x:is>
          <x:t xml:space="preserve">New</x:t>
        </x:is>
      </x:c>
      <x:c r="O36" s="60" t="inlineStr">
        <x:is>
          <x:t xml:space="preserve">枠: Innovation Policy / 政策分野: National Programs &amp; Strategy / 学術区分: News &amp; Official Release / 焦点: AIに関する教育政策の変革 / Historical backfill from an allowlisted source.</x:t>
        </x:is>
      </x:c>
    </x:row>
    <x:row r="37" ht="42" customHeight="1">
      <x:c r="A37" s="75" t="inlineStr">
        <x:is>
          <x:t xml:space="preserve">2026-07-26T21:02:36+09:00</x:t>
        </x:is>
      </x:c>
      <x:c r="B37" s="75" t="inlineStr">
        <x:is>
          <x:t xml:space="preserve">2026-07-20T15:55:00Z</x:t>
        </x:is>
      </x:c>
      <x:c r="C37" s="60" t="inlineStr">
        <x:is>
          <x:t xml:space="preserve">United States</x:t>
        </x:is>
      </x:c>
      <x:c r="D37" s="60" t="inlineStr">
        <x:is>
          <x:t xml:space="preserve">United States</x:t>
        </x:is>
      </x:c>
      <x:c r="E37" s="60" t="inlineStr">
        <x:is>
          <x:t xml:space="preserve">Semiconductors &amp; Telecom</x:t>
        </x:is>
      </x:c>
      <x:c r="F37" s="76" t="n">
        <x:v>0</x:v>
      </x:c>
      <x:c r="G37" s="60" t="inlineStr">
        <x:is>
          <x:t xml:space="preserve">Major Media</x:t>
        </x:is>
      </x:c>
      <x:c r="H37" s="60" t="inlineStr">
        <x:is>
          <x:t xml:space="preserve">IEEE Spectrum</x:t>
        </x:is>
      </x:c>
      <x:c r="I37" s="60" t="inlineStr">
        <x:is>
          <x:t xml:space="preserve">先進半導体故障解析のためのSEMガイド低電圧FIB仕上げ</x:t>
        </x:is>
      </x:c>
      <x:c r="J37" s="60" t="inlineStr">
        <x:is>
          <x:t xml:space="preserve">ZEISS Crossbeam 750 FIBSEMが先進的な半導体故障解析の新しい基準を設定する方法について説明しています。</x:t>
        </x:is>
      </x:c>
      <x:c r="K37" s="60" t="inlineStr">
        <x:is>
          <x:t xml:space="preserve">https://event.on24.com/wcc/r/5418459/287E3D5B99470D34C830D69A24B3B207</x:t>
        </x:is>
      </x:c>
      <x:c r="L37" s="60" t="inlineStr">
        <x:is>
          <x:t xml:space="preserve">73d0028e337a76c2cd00f1bc</x:t>
        </x:is>
      </x:c>
      <x:c r="M37" s="75" t="inlineStr">
        <x:is>
          <x:t xml:space="preserve">2026-07-21T00:55:00+09:00</x:t>
        </x:is>
      </x:c>
      <x:c r="N37" s="60" t="inlineStr">
        <x:is>
          <x:t xml:space="preserve">New</x:t>
        </x:is>
      </x:c>
      <x:c r="O37" s="60" t="inlineStr">
        <x:is>
          <x:t xml:space="preserve">枠: Technology Innovation / 学術区分: News &amp; Official Release / 焦点: 先進半導体の故障解析技術</x:t>
        </x:is>
      </x:c>
    </x:row>
    <x:row r="38" ht="42" customHeight="1">
      <x:c r="A38" s="75" t="inlineStr">
        <x:is>
          <x:t xml:space="preserve">2026-07-26T21:02:36+09:00</x:t>
        </x:is>
      </x:c>
      <x:c r="B38" s="75" t="inlineStr">
        <x:is>
          <x:t xml:space="preserve">2026-07-20T15:00:53Z</x:t>
        </x:is>
      </x:c>
      <x:c r="C38" s="60" t="inlineStr">
        <x:is>
          <x:t xml:space="preserve">Global</x:t>
        </x:is>
      </x:c>
      <x:c r="D38" s="60" t="inlineStr">
        <x:is>
          <x:t xml:space="preserve">United States</x:t>
        </x:is>
      </x:c>
      <x:c r="E38" s="60" t="inlineStr">
        <x:is>
          <x:t xml:space="preserve">Artificial Intelligence | Robotics</x:t>
        </x:is>
      </x:c>
      <x:c r="F38" s="76" t="n">
        <x:v>0</x:v>
      </x:c>
      <x:c r="G38" s="60" t="inlineStr">
        <x:is>
          <x:t xml:space="preserve">Official Company</x:t>
        </x:is>
      </x:c>
      <x:c r="H38" s="60" t="inlineStr">
        <x:is>
          <x:t xml:space="preserve">NVIDIA Blog</x:t>
        </x:is>
      </x:c>
      <x:c r="I38" s="60" t="inlineStr">
        <x:is>
          <x:t xml:space="preserve">SIGGRAPHでNVIDIAがエージェントAIと物理AIでグラフィックスとシミュレーションを進展</x:t>
        </x:is>
      </x:c>
      <x:c r="J38" s="60" t="inlineStr">
        <x:is>
          <x:t xml:space="preserve">NVIDIAはSIGGRAPHで、オープンモデルからリアルタイムシミュレーションまで、AIとグラフィックスの革新がメディア、コンテンツ制作、ロボティクスを変革していることを発表した。</x:t>
        </x:is>
      </x:c>
      <x:c r="K38" s="60" t="inlineStr">
        <x:is>
          <x:t xml:space="preserve">https://blogs.nvidia.com/blog/siggraph-news-2026/</x:t>
        </x:is>
      </x:c>
      <x:c r="L38" s="60" t="inlineStr">
        <x:is>
          <x:t xml:space="preserve">70c1acaa81ba6cd1c84a673d</x:t>
        </x:is>
      </x:c>
      <x:c r="M38" s="75" t="inlineStr">
        <x:is>
          <x:t xml:space="preserve">2026-07-21T00:00:53+09:00</x:t>
        </x:is>
      </x:c>
      <x:c r="N38" s="60" t="inlineStr">
        <x:is>
          <x:t xml:space="preserve">New</x:t>
        </x:is>
      </x:c>
      <x:c r="O38" s="60" t="inlineStr">
        <x:is>
          <x:t xml:space="preserve">枠: Technology Innovation / 学術区分: News &amp; Official Release / 焦点: エージェントAIと物理AIの進展</x:t>
        </x:is>
      </x:c>
    </x:row>
    <x:row r="39" ht="42" customHeight="1">
      <x:c r="A39" s="75" t="inlineStr">
        <x:is>
          <x:t xml:space="preserve">2026-07-26T21:02:36+09:00</x:t>
        </x:is>
      </x:c>
      <x:c r="B39" s="75" t="inlineStr">
        <x:is>
          <x:t xml:space="preserve">2026-07-20T13:30:06Z</x:t>
        </x:is>
      </x:c>
      <x:c r="C39" s="60" t="inlineStr">
        <x:is>
          <x:t xml:space="preserve">Asia</x:t>
        </x:is>
      </x:c>
      <x:c r="D39" s="60" t="inlineStr">
        <x:is>
          <x:t xml:space="preserve">Hong Kong</x:t>
        </x:is>
      </x:c>
      <x:c r="E39" s="60" t="inlineStr">
        <x:is>
          <x:t xml:space="preserve">Artificial Intelligence | Semiconductors &amp; Telecom</x:t>
        </x:is>
      </x:c>
      <x:c r="F39" s="76" t="n">
        <x:v>1</x:v>
      </x:c>
      <x:c r="G39" s="60" t="inlineStr">
        <x:is>
          <x:t xml:space="preserve">Major Media</x:t>
        </x:is>
      </x:c>
      <x:c r="H39" s="60" t="inlineStr">
        <x:is>
          <x:t xml:space="preserve">South China Morning Post Technology</x:t>
        </x:is>
      </x:c>
      <x:c r="I39" s="60" t="inlineStr">
        <x:is>
          <x:t xml:space="preserve">トークン経済からタスク経済へ？SenseTimeがAIの商業化に賭ける</x:t>
        </x:is>
      </x:c>
      <x:c r="J39" s="60" t="inlineStr">
        <x:is>
          <x:t xml:space="preserve">中国のAI企業SenseTimeは、トークン価格の低下に伴い、AIの商業化が「トークン経済」から「タスク経済」へ移行する見込みであると述べた。</x:t>
        </x:is>
      </x:c>
      <x:c r="K39" s="60" t="inlineStr">
        <x:is>
          <x:t xml:space="preserve">https://www.scmp.com/tech/big-tech/article/3361242/no-longer-token-economy-sensetime-bets-task-economy-token-prices-set-drop?utm_source=rss_feed</x:t>
        </x:is>
      </x:c>
      <x:c r="L39" s="60" t="inlineStr">
        <x:is>
          <x:t xml:space="preserve">cd5b1ea310d8a65d00ad1ad9</x:t>
        </x:is>
      </x:c>
      <x:c r="M39" s="75" t="inlineStr">
        <x:is>
          <x:t xml:space="preserve">2026-07-20T22:30:06+09:00</x:t>
        </x:is>
      </x:c>
      <x:c r="N39" s="60" t="inlineStr">
        <x:is>
          <x:t xml:space="preserve">New</x:t>
        </x:is>
      </x:c>
      <x:c r="O39" s="60" t="inlineStr">
        <x:is>
          <x:t xml:space="preserve">枠: Technology Innovation | Innovation Policy / 政策分野: Patents &amp; Intellectual Property / 学術区分: News &amp; Official Release / 焦点: AIの商業化の移行</x:t>
        </x:is>
      </x:c>
    </x:row>
    <x:row r="40" ht="42" customHeight="1">
      <x:c r="A40" s="75" t="inlineStr">
        <x:is>
          <x:t xml:space="preserve">2026-07-26T21:02:36+09:00</x:t>
        </x:is>
      </x:c>
      <x:c r="B40" s="75" t="inlineStr">
        <x:is>
          <x:t xml:space="preserve">2026-07-20T11:29:00Z</x:t>
        </x:is>
      </x:c>
      <x:c r="C40" s="60" t="inlineStr">
        <x:is>
          <x:t xml:space="preserve">EU &amp; Europe</x:t>
        </x:is>
      </x:c>
      <x:c r="D40" s="60" t="inlineStr">
        <x:is>
          <x:t xml:space="preserve">United Kingdom</x:t>
        </x:is>
      </x:c>
      <x:c r="E40" s="60" t="inlineStr">
        <x:is>
          <x:t xml:space="preserve"/>
        </x:is>
      </x:c>
      <x:c r="F40" s="76" t="n">
        <x:v>3</x:v>
      </x:c>
      <x:c r="G40" s="60" t="inlineStr">
        <x:is>
          <x:t xml:space="preserve">Government</x:t>
        </x:is>
      </x:c>
      <x:c r="H40" s="60" t="inlineStr">
        <x:is>
          <x:t xml:space="preserve">UK DSIT</x:t>
        </x:is>
      </x:c>
      <x:c r="I40" s="60" t="inlineStr">
        <x:is>
          <x:t xml:space="preserve">透明性データ：契約されたおよび建設された施設、プロジェクトギガビット契約</x:t>
        </x:is>
      </x:c>
      <x:c r="J40" s="60" t="inlineStr">
        <x:is>
          <x:t xml:space="preserve">デジタルUKがプロジェクトギガビット契約に基づく契約状況を報告しています。</x:t>
        </x:is>
      </x:c>
      <x:c r="K40" s="60" t="inlineStr">
        <x:is>
          <x:t xml:space="preserve">https://www.gov.uk/government/publications/premises-contracted-and-built-project-gigabit-contracts</x:t>
        </x:is>
      </x:c>
      <x:c r="L40" s="60" t="inlineStr">
        <x:is>
          <x:t xml:space="preserve">d643b4b81f6998869b340654</x:t>
        </x:is>
      </x:c>
      <x:c r="M40" s="75" t="inlineStr">
        <x:is>
          <x:t xml:space="preserve">2026-07-20T20:29:00+09:00</x:t>
        </x:is>
      </x:c>
      <x:c r="N40" s="60" t="inlineStr">
        <x:is>
          <x:t xml:space="preserve">New</x:t>
        </x:is>
      </x:c>
      <x:c r="O40" s="60" t="inlineStr">
        <x:is>
          <x:t xml:space="preserve">枠: Innovation Policy / 政策分野: National Programs &amp; Strategy / 学術区分: News &amp; Official Release / 焦点: デジタルインフラ整備に関する国家戦略</x:t>
        </x:is>
      </x:c>
    </x:row>
    <x:row r="41" ht="42" customHeight="1">
      <x:c r="A41" s="75" t="inlineStr">
        <x:is>
          <x:t xml:space="preserve">2026-07-26T21:02:36+09:00</x:t>
        </x:is>
      </x:c>
      <x:c r="B41" s="75" t="inlineStr">
        <x:is>
          <x:t xml:space="preserve">2026-07-20T10:59:23Z</x:t>
        </x:is>
      </x:c>
      <x:c r="C41" s="60" t="inlineStr">
        <x:is>
          <x:t xml:space="preserve">Global</x:t>
        </x:is>
      </x:c>
      <x:c r="D41" s="60" t="inlineStr">
        <x:is>
          <x:t xml:space="preserve">United States</x:t>
        </x:is>
      </x:c>
      <x:c r="E41" s="60" t="inlineStr">
        <x:is>
          <x:t xml:space="preserve">Artificial Intelligence</x:t>
        </x:is>
      </x:c>
      <x:c r="F41" s="76" t="n">
        <x:v>0</x:v>
      </x:c>
      <x:c r="G41" s="60" t="inlineStr">
        <x:is>
          <x:t xml:space="preserve">Official Company</x:t>
        </x:is>
      </x:c>
      <x:c r="H41" s="60" t="inlineStr">
        <x:is>
          <x:t xml:space="preserve">NVIDIA Blog</x:t>
        </x:is>
      </x:c>
      <x:c r="I41" s="60" t="inlineStr">
        <x:is>
          <x:t xml:space="preserve">Bristol Myers Squibbがライフサイエンス業界で最も先進的なAI工場を構築</x:t>
        </x:is>
      </x:c>
      <x:c r="J41" s="60" t="inlineStr">
        <x:is>
          <x:t xml:space="preserve">Bristol Myers Squibbは、ライフサイエンス分野でのAIクラスターを拡大し、成果を上げていることを発表した。</x:t>
        </x:is>
      </x:c>
      <x:c r="K41" s="60" t="inlineStr">
        <x:is>
          <x:t xml:space="preserve">https://blogs.nvidia.com/blog/bristol-myers-squibb-building-life-science-industrys-most-advanced-ai-factory-on-nvidia-vera-rubin/</x:t>
        </x:is>
      </x:c>
      <x:c r="L41" s="60" t="inlineStr">
        <x:is>
          <x:t xml:space="preserve">b4ddc90482832cbb50579f2a</x:t>
        </x:is>
      </x:c>
      <x:c r="M41" s="75" t="inlineStr">
        <x:is>
          <x:t xml:space="preserve">2026-07-20T19:59:23+09:00</x:t>
        </x:is>
      </x:c>
      <x:c r="N41" s="60" t="inlineStr">
        <x:is>
          <x:t xml:space="preserve">New</x:t>
        </x:is>
      </x:c>
      <x:c r="O41" s="60" t="inlineStr">
        <x:is>
          <x:t xml:space="preserve">枠: Technology Innovation / 学術区分: News &amp; Official Release / 焦点: AIクラスターの展開</x:t>
        </x:is>
      </x:c>
    </x:row>
    <x:row r="42" ht="42" customHeight="1">
      <x:c r="A42" s="75" t="inlineStr">
        <x:is>
          <x:t xml:space="preserve">2026-07-26T21:02:36+09:00</x:t>
        </x:is>
      </x:c>
      <x:c r="B42" s="75" t="inlineStr">
        <x:is>
          <x:t xml:space="preserve">2026-07-20T00:00:00Z</x:t>
        </x:is>
      </x:c>
      <x:c r="C42" s="60" t="inlineStr">
        <x:is>
          <x:t xml:space="preserve">Global</x:t>
        </x:is>
      </x:c>
      <x:c r="D42" s="60" t="inlineStr">
        <x:is>
          <x:t xml:space="preserve">Global</x:t>
        </x:is>
      </x:c>
      <x:c r="E42" s="60" t="inlineStr">
        <x:is>
          <x:t xml:space="preserve">Artificial Intelligence | Healthcare</x:t>
        </x:is>
      </x:c>
      <x:c r="F42" s="76" t="n">
        <x:v>0</x:v>
      </x:c>
      <x:c r="G42" s="60" t="inlineStr">
        <x:is>
          <x:t xml:space="preserve">Journal Article</x:t>
        </x:is>
      </x:c>
      <x:c r="H42" s="60" t="inlineStr">
        <x:is>
          <x:t xml:space="preserve">Machine Intelligence Research</x:t>
        </x:is>
      </x:c>
      <x:c r="I42" s="60" t="inlineStr">
        <x:is>
          <x:t xml:space="preserve">M2SNet: 医療画像セグメンテーションのためのマルチスケール減算ネットワーク</x:t>
        </x:is>
      </x:c>
      <x:c r="J42" s="60" t="inlineStr">
        <x:is>
          <x:t xml:space="preserve">M2SNetは、医療画像のセグメンテーションを改善するために、異なるレベルの特徴を効果的に融合する新しい手法を提案します。</x:t>
        </x:is>
      </x:c>
      <x:c r="K42" s="60" t="inlineStr">
        <x:is>
          <x:t xml:space="preserve">https://doi.org/10.1007/s11633-026-1662-9</x:t>
        </x:is>
      </x:c>
      <x:c r="L42" s="60" t="inlineStr">
        <x:is>
          <x:t xml:space="preserve">bffca1cc322e28515452081a</x:t>
        </x:is>
      </x:c>
      <x:c r="M42" s="75" t="inlineStr">
        <x:is>
          <x:t xml:space="preserve">2026-07-20T09:00:00+09:00</x:t>
        </x:is>
      </x:c>
      <x:c r="N42" s="60" t="inlineStr">
        <x:is>
          <x:t xml:space="preserve">New</x:t>
        </x:is>
      </x:c>
      <x:c r="O42" s="60" t="inlineStr">
        <x:is>
          <x:t xml:space="preserve">枠: Technology Innovation / 学術区分: Journal Article / 査読表示: Journal record — confirm peer review on publisher page / 掲載誌・学会: Machine Intelligence Research / 焦点: 医療画像セグメンテーション技術 / OpenAlex record; work type=article; citations=79</x:t>
        </x:is>
      </x:c>
    </x:row>
    <x:row r="43" ht="42" customHeight="1">
      <x:c r="A43" s="75" t="inlineStr">
        <x:is>
          <x:t xml:space="preserve">2026-07-26T18:56:03+09:00</x:t>
        </x:is>
      </x:c>
      <x:c r="B43" s="75" t="inlineStr">
        <x:is>
          <x:t xml:space="preserve">2026-07-17T18:42:47Z</x:t>
        </x:is>
      </x:c>
      <x:c r="C43" s="60" t="inlineStr">
        <x:is>
          <x:t xml:space="preserve">EU &amp; Europe</x:t>
        </x:is>
      </x:c>
      <x:c r="D43" s="60" t="inlineStr">
        <x:is>
          <x:t xml:space="preserve">Global</x:t>
        </x:is>
      </x:c>
      <x:c r="E43" s="60" t="inlineStr">
        <x:is>
          <x:t xml:space="preserve">Fusion Energy</x:t>
        </x:is>
      </x:c>
      <x:c r="F43" s="76" t="n">
        <x:v>4</x:v>
      </x:c>
      <x:c r="G43" s="60" t="inlineStr">
        <x:is>
          <x:t xml:space="preserve">Industry Association</x:t>
        </x:is>
      </x:c>
      <x:c r="H43" s="60" t="inlineStr">
        <x:is>
          <x:t xml:space="preserve">Fusion Industry Association</x:t>
        </x:is>
      </x:c>
      <x:c r="I43" s="60" t="inlineStr">
        <x:is>
          <x:t xml:space="preserve">国際法専門家グループ、EUの核融合競争優位性確保の必要性に関する論文を発表</x:t>
        </x:is>
      </x:c>
      <x:c r="J43" s="60" t="inlineStr">
        <x:is>
          <x:t xml:space="preserve">国際法専門家グループがEUの核融合エネルギーに関する競争優位性を確保する必要性を論じた。</x:t>
        </x:is>
      </x:c>
      <x:c r="K43" s="60" t="inlineStr">
        <x:is>
          <x:t xml:space="preserve">https://www.fusionindustryassociation.org/international-legal-expert-group-publish-paper-on-the-need-for-the-eu-to-secure-its-competitive-fusion-advantage/?utm_source=rss&amp;utm_medium=rss&amp;utm_campaign=international-legal-expert-group-publish-paper-on-the-need-for-the-eu-to-secure-its-competitive-fusion-advantage</x:t>
        </x:is>
      </x:c>
      <x:c r="L43" s="60" t="inlineStr">
        <x:is>
          <x:t xml:space="preserve">7ef6110ab078602757409abf</x:t>
        </x:is>
      </x:c>
      <x:c r="M43" s="75" t="inlineStr">
        <x:is>
          <x:t xml:space="preserve">2026-07-26T18:56:03+09:00</x:t>
        </x:is>
      </x:c>
      <x:c r="N43" s="60" t="inlineStr">
        <x:is>
          <x:t xml:space="preserve">New</x:t>
        </x:is>
      </x:c>
      <x:c r="O43" s="60" t="inlineStr">
        <x:is>
          <x:t xml:space="preserve">枠: Innovation Policy / 政策分野: Regulation &amp; Governance / 学術区分: News &amp; Official Release / 焦点: EUの核融合エネルギーに関する規制とガバナンス</x:t>
        </x:is>
      </x:c>
    </x:row>
    <x:row r="44" ht="42" customHeight="1">
      <x:c r="A44" s="75" t="inlineStr">
        <x:is>
          <x:t xml:space="preserve">2026-07-26T21:02:36+09:00</x:t>
        </x:is>
      </x:c>
      <x:c r="B44" s="75" t="inlineStr">
        <x:is>
          <x:t xml:space="preserve">2026-07-17T15:00:03Z</x:t>
        </x:is>
      </x:c>
      <x:c r="C44" s="60" t="inlineStr">
        <x:is>
          <x:t xml:space="preserve">EU &amp; Europe</x:t>
        </x:is>
      </x:c>
      <x:c r="D44" s="60" t="inlineStr">
        <x:is>
          <x:t xml:space="preserve">United Kingdom</x:t>
        </x:is>
      </x:c>
      <x:c r="E44" s="60" t="inlineStr">
        <x:is>
          <x:t xml:space="preserve">Artificial Intelligence</x:t>
        </x:is>
      </x:c>
      <x:c r="F44" s="76" t="n">
        <x:v>3</x:v>
      </x:c>
      <x:c r="G44" s="60" t="inlineStr">
        <x:is>
          <x:t xml:space="preserve">Government</x:t>
        </x:is>
      </x:c>
      <x:c r="H44" s="60" t="inlineStr">
        <x:is>
          <x:t xml:space="preserve">UK DSIT</x:t>
        </x:is>
      </x:c>
      <x:c r="I44" s="60" t="inlineStr">
        <x:is>
          <x:t xml:space="preserve">AI研究資源に関するガイダンス</x:t>
        </x:is>
      </x:c>
      <x:c r="J44" s="60" t="inlineStr">
        <x:is>
          <x:t xml:space="preserve">AI研究資源（AIRR）は、研究者や産業にAI専門の計算能力を提供するスーパーコンピュータのスイートです。</x:t>
        </x:is>
      </x:c>
      <x:c r="K44" s="60" t="inlineStr">
        <x:is>
          <x:t xml:space="preserve">https://www.gov.uk/government/publications/ai-research-resource</x:t>
        </x:is>
      </x:c>
      <x:c r="L44" s="60" t="inlineStr">
        <x:is>
          <x:t xml:space="preserve">579a0b7ad2d471608fff5049</x:t>
        </x:is>
      </x:c>
      <x:c r="M44" s="75" t="inlineStr">
        <x:is>
          <x:t xml:space="preserve">2026-07-18T00:00:03+09:00</x:t>
        </x:is>
      </x:c>
      <x:c r="N44" s="60" t="inlineStr">
        <x:is>
          <x:t xml:space="preserve">New</x:t>
        </x:is>
      </x:c>
      <x:c r="O44" s="60" t="inlineStr">
        <x:is>
          <x:t xml:space="preserve">枠: Innovation Policy / 政策分野: National Programs &amp; Strategy / 学術区分: News &amp; Official Release / 焦点: AI研究資源（AIRR）</x:t>
        </x:is>
      </x:c>
    </x:row>
    <x:row r="45" ht="42" customHeight="1">
      <x:c r="A45" s="75" t="inlineStr">
        <x:is>
          <x:t xml:space="preserve">2026-07-26T21:45:54+09:00</x:t>
        </x:is>
      </x:c>
      <x:c r="B45" s="75" t="inlineStr">
        <x:is>
          <x:t xml:space="preserve">2026-07-17T14:48:00Z</x:t>
        </x:is>
      </x:c>
      <x:c r="C45" s="60" t="inlineStr">
        <x:is>
          <x:t xml:space="preserve">EU &amp; Europe</x:t>
        </x:is>
      </x:c>
      <x:c r="D45" s="60" t="inlineStr">
        <x:is>
          <x:t xml:space="preserve">European Patent Organisation</x:t>
        </x:is>
      </x:c>
      <x:c r="E45" s="60" t="inlineStr">
        <x:is>
          <x:t xml:space="preserve"/>
        </x:is>
      </x:c>
      <x:c r="F45" s="76" t="n">
        <x:v>3</x:v>
      </x:c>
      <x:c r="G45" s="60" t="inlineStr">
        <x:is>
          <x:t xml:space="preserve">Intergovernmental</x:t>
        </x:is>
      </x:c>
      <x:c r="H45" s="60" t="inlineStr">
        <x:is>
          <x:t xml:space="preserve">European Patent Office News</x:t>
        </x:is>
      </x:c>
      <x:c r="I45" s="60" t="inlineStr">
        <x:is>
          <x:t xml:space="preserve">技術革新を加速するための特許と標準</x:t>
        </x:is>
      </x:c>
      <x:c r="J45" s="60" t="inlineStr">
        <x:is>
          <x:t xml:space="preserve">特許と標準が技術革新を加速するための重要な要素であることについての情報。</x:t>
        </x:is>
      </x:c>
      <x:c r="K45" s="60" t="inlineStr">
        <x:is>
          <x:t xml:space="preserve">https://epo.org/en/about-us/observatory-patents-and-technology/policy-and-funding/patents-and-standards</x:t>
        </x:is>
      </x:c>
      <x:c r="L45" s="60" t="inlineStr">
        <x:is>
          <x:t xml:space="preserve">a0d096f59b7771ee7e91da7b</x:t>
        </x:is>
      </x:c>
      <x:c r="M45" s="75" t="inlineStr">
        <x:is>
          <x:t xml:space="preserve">2026-07-17T23:48:00+09:00</x:t>
        </x:is>
      </x:c>
      <x:c r="N45" s="60" t="inlineStr">
        <x:is>
          <x:t xml:space="preserve">New</x:t>
        </x:is>
      </x:c>
      <x:c r="O45" s="60" t="inlineStr">
        <x:is>
          <x:t xml:space="preserve">枠: Innovation Policy / 政策分野: Patents &amp; Intellectual Property / 学術区分: News &amp; Official Release / 焦点: 技術革新を加速するための特許と標準 / Historical backfill from an allowlisted source.</x:t>
        </x:is>
      </x:c>
    </x:row>
    <x:row r="46" ht="42" customHeight="1">
      <x:c r="A46" s="75" t="inlineStr">
        <x:is>
          <x:t xml:space="preserve">2026-07-26T21:02:36+09:00</x:t>
        </x:is>
      </x:c>
      <x:c r="B46" s="75" t="inlineStr">
        <x:is>
          <x:t xml:space="preserve">2026-07-17T13:42:16Z</x:t>
        </x:is>
      </x:c>
      <x:c r="C46" s="60" t="inlineStr">
        <x:is>
          <x:t xml:space="preserve">EU &amp; Europe</x:t>
        </x:is>
      </x:c>
      <x:c r="D46" s="60" t="inlineStr">
        <x:is>
          <x:t xml:space="preserve">United Kingdom</x:t>
        </x:is>
      </x:c>
      <x:c r="E46" s="60" t="inlineStr">
        <x:is>
          <x:t xml:space="preserve"/>
        </x:is>
      </x:c>
      <x:c r="F46" s="76" t="n">
        <x:v>3</x:v>
      </x:c>
      <x:c r="G46" s="60" t="inlineStr">
        <x:is>
          <x:t xml:space="preserve">Government</x:t>
        </x:is>
      </x:c>
      <x:c r="H46" s="60" t="inlineStr">
        <x:is>
          <x:t xml:space="preserve">UK DSIT</x:t>
        </x:is>
      </x:c>
      <x:c r="I46" s="60" t="inlineStr">
        <x:is>
          <x:t xml:space="preserve">デジタルサービスの改善に関する公開書簡</x:t>
        </x:is>
      </x:c>
      <x:c r="J46" s="60" t="inlineStr">
        <x:is>
          <x:t xml:space="preserve">業界リーダーに向けて、デジタルサービスの改善に関する公開書簡が送られた。</x:t>
        </x:is>
      </x:c>
      <x:c r="K46" s="60" t="inlineStr">
        <x:is>
          <x:t xml:space="preserve">https://www.gov.uk/government/publications/improving-access-to-and-use-of-digital-services-open-letter-to-business-leaders</x:t>
        </x:is>
      </x:c>
      <x:c r="L46" s="60" t="inlineStr">
        <x:is>
          <x:t xml:space="preserve">d136ac8a836994c6ce5e35c6</x:t>
        </x:is>
      </x:c>
      <x:c r="M46" s="75" t="inlineStr">
        <x:is>
          <x:t xml:space="preserve">2026-07-17T22:42:16+09:00</x:t>
        </x:is>
      </x:c>
      <x:c r="N46" s="60" t="inlineStr">
        <x:is>
          <x:t xml:space="preserve">New</x:t>
        </x:is>
      </x:c>
      <x:c r="O46" s="60" t="inlineStr">
        <x:is>
          <x:t xml:space="preserve">枠: Innovation Policy / 政策分野: National Programs &amp; Strategy / 学術区分: News &amp; Official Release / 焦点: デジタルサービスの改善</x:t>
        </x:is>
      </x:c>
    </x:row>
    <x:row r="47" ht="42" customHeight="1">
      <x:c r="A47" s="75" t="inlineStr">
        <x:is>
          <x:t xml:space="preserve">2026-07-26T21:02:36+09:00</x:t>
        </x:is>
      </x:c>
      <x:c r="B47" s="75" t="inlineStr">
        <x:is>
          <x:t xml:space="preserve">2026-07-17T12:00:04Z</x:t>
        </x:is>
      </x:c>
      <x:c r="C47" s="60" t="inlineStr">
        <x:is>
          <x:t xml:space="preserve">EU &amp; Europe</x:t>
        </x:is>
      </x:c>
      <x:c r="D47" s="60" t="inlineStr">
        <x:is>
          <x:t xml:space="preserve">United Kingdom</x:t>
        </x:is>
      </x:c>
      <x:c r="E47" s="60" t="inlineStr">
        <x:is>
          <x:t xml:space="preserve">Artificial Intelligence</x:t>
        </x:is>
      </x:c>
      <x:c r="F47" s="76" t="n">
        <x:v>3</x:v>
      </x:c>
      <x:c r="G47" s="60" t="inlineStr">
        <x:is>
          <x:t xml:space="preserve">Government</x:t>
        </x:is>
      </x:c>
      <x:c r="H47" s="60" t="inlineStr">
        <x:is>
          <x:t xml:space="preserve">UK DSIT</x:t>
        </x:is>
      </x:c>
      <x:c r="I47" s="60" t="inlineStr">
        <x:is>
          <x:t xml:space="preserve">AIスーパーコンピュータホストサイト選定に関する表明</x:t>
        </x:is>
      </x:c>
      <x:c r="J47" s="60" t="inlineStr">
        <x:is>
          <x:t xml:space="preserve">UKの次のAIスーパーコンピュータのホストサイト選定に関する表明が行われた。</x:t>
        </x:is>
      </x:c>
      <x:c r="K47" s="60" t="inlineStr">
        <x:is>
          <x:t xml:space="preserve">https://www.gov.uk/government/publications/expression-of-interest-airr-heterogeneous-supercomputer-host-site-selection</x:t>
        </x:is>
      </x:c>
      <x:c r="L47" s="60" t="inlineStr">
        <x:is>
          <x:t xml:space="preserve">27d607577c2759c8d53f9ddf</x:t>
        </x:is>
      </x:c>
      <x:c r="M47" s="75" t="inlineStr">
        <x:is>
          <x:t xml:space="preserve">2026-07-17T21:00:04+09:00</x:t>
        </x:is>
      </x:c>
      <x:c r="N47" s="60" t="inlineStr">
        <x:is>
          <x:t xml:space="preserve">New</x:t>
        </x:is>
      </x:c>
      <x:c r="O47" s="60" t="inlineStr">
        <x:is>
          <x:t xml:space="preserve">枠: Innovation Policy / 政策分野: National Programs &amp; Strategy / 学術区分: News &amp; Official Release / 焦点: AIスーパーコンピュータのホストサイト選定</x:t>
        </x:is>
      </x:c>
    </x:row>
    <x:row r="48" ht="42" customHeight="1">
      <x:c r="A48" s="75" t="inlineStr">
        <x:is>
          <x:t xml:space="preserve">2026-07-26T21:02:36+09:00</x:t>
        </x:is>
      </x:c>
      <x:c r="B48" s="75" t="inlineStr">
        <x:is>
          <x:t xml:space="preserve">2026-07-17T07:59:22Z</x:t>
        </x:is>
      </x:c>
      <x:c r="C48" s="60" t="inlineStr">
        <x:is>
          <x:t xml:space="preserve">EU &amp; Europe</x:t>
        </x:is>
      </x:c>
      <x:c r="D48" s="60" t="inlineStr">
        <x:is>
          <x:t xml:space="preserve">United Kingdom</x:t>
        </x:is>
      </x:c>
      <x:c r="E48" s="60" t="inlineStr">
        <x:is>
          <x:t xml:space="preserve"/>
        </x:is>
      </x:c>
      <x:c r="F48" s="76" t="n">
        <x:v>3</x:v>
      </x:c>
      <x:c r="G48" s="60" t="inlineStr">
        <x:is>
          <x:t xml:space="preserve">Government</x:t>
        </x:is>
      </x:c>
      <x:c r="H48" s="60" t="inlineStr">
        <x:is>
          <x:t xml:space="preserve">UK DSIT</x:t>
        </x:is>
      </x:c>
      <x:c r="I48" s="60" t="inlineStr">
        <x:is>
          <x:t xml:space="preserve">子供のオンライン保護に関する新ルール</x:t>
        </x:is>
      </x:c>
      <x:c r="J48" s="60" t="inlineStr">
        <x:is>
          <x:t xml:space="preserve">UK政府が16歳未満の子供に対するソーシャルメディア禁止を発表した。</x:t>
        </x:is>
      </x:c>
      <x:c r="K48" s="60" t="inlineStr">
        <x:is>
          <x:t xml:space="preserve">https://www.gov.uk/government/publications/fact-sheet-new-rules-to-protect-children-online</x:t>
        </x:is>
      </x:c>
      <x:c r="L48" s="60" t="inlineStr">
        <x:is>
          <x:t xml:space="preserve">371ff53aa8f9007fcb1ddddf</x:t>
        </x:is>
      </x:c>
      <x:c r="M48" s="75" t="inlineStr">
        <x:is>
          <x:t xml:space="preserve">2026-07-17T16:59:22+09:00</x:t>
        </x:is>
      </x:c>
      <x:c r="N48" s="60" t="inlineStr">
        <x:is>
          <x:t xml:space="preserve">New</x:t>
        </x:is>
      </x:c>
      <x:c r="O48" s="60" t="inlineStr">
        <x:is>
          <x:t xml:space="preserve">枠: Innovation Policy / 政策分野: National Programs &amp; Strategy / 学術区分: News &amp; Official Release / 焦点: 子供のオンライン保護に関する新ルール</x:t>
        </x:is>
      </x:c>
    </x:row>
    <x:row r="49" ht="42" customHeight="1">
      <x:c r="A49" s="75" t="inlineStr">
        <x:is>
          <x:t xml:space="preserve">2026-07-26T21:02:36+09:00</x:t>
        </x:is>
      </x:c>
      <x:c r="B49" s="75" t="inlineStr">
        <x:is>
          <x:t xml:space="preserve">2026-07-16T13:35:15Z</x:t>
        </x:is>
      </x:c>
      <x:c r="C49" s="60" t="inlineStr">
        <x:is>
          <x:t xml:space="preserve">United States</x:t>
        </x:is>
      </x:c>
      <x:c r="D49" s="60" t="inlineStr">
        <x:is>
          <x:t xml:space="preserve">United States</x:t>
        </x:is>
      </x:c>
      <x:c r="E49" s="60" t="inlineStr">
        <x:is>
          <x:t xml:space="preserve">Quantum</x:t>
        </x:is>
      </x:c>
      <x:c r="F49" s="76" t="n">
        <x:v>3</x:v>
      </x:c>
      <x:c r="G49" s="60" t="inlineStr">
        <x:is>
          <x:t xml:space="preserve">Government</x:t>
        </x:is>
      </x:c>
      <x:c r="H49" s="60" t="inlineStr">
        <x:is>
          <x:t xml:space="preserve">DOE Office of Science News</x:t>
        </x:is>
      </x:c>
      <x:c r="I49" s="60" t="inlineStr">
        <x:is>
          <x:t xml:space="preserve">ノイズを消す：DOEが次世代量子情報科学を支える国内シリコンとゲルマニウムイソトープ供給のブレークスルーを発表</x:t>
        </x:is>
      </x:c>
      <x:c r="J49" s="60" t="inlineStr">
        <x:is>
          <x:t xml:space="preserve">DOEが、次世代量子情報科学を加速するために、商業ソースよりも100倍以上の純度を持つイソトープを生産する成果を発表した。</x:t>
        </x:is>
      </x:c>
      <x:c r="K49" s="60" t="inlineStr">
        <x:is>
          <x:t xml:space="preserve">https://www.energy.gov/science/articles/silencing-noise-doe-unveils-breakthrough-domestic-silicon-and-germanium-isotope</x:t>
        </x:is>
      </x:c>
      <x:c r="L49" s="60" t="inlineStr">
        <x:is>
          <x:t xml:space="preserve">17ffa424cf814d722a951c64</x:t>
        </x:is>
      </x:c>
      <x:c r="M49" s="75" t="inlineStr">
        <x:is>
          <x:t xml:space="preserve">2026-07-16T22:35:15+09:00</x:t>
        </x:is>
      </x:c>
      <x:c r="N49" s="60" t="inlineStr">
        <x:is>
          <x:t xml:space="preserve">New</x:t>
        </x:is>
      </x:c>
      <x:c r="O49" s="60" t="inlineStr">
        <x:is>
          <x:t xml:space="preserve">枠: Technology Innovation | Innovation Policy / 政策分野: National Programs &amp; Strategy / 学術区分: News &amp; Official Release / 焦点: 量子情報科学におけるイソトープ供給</x:t>
        </x:is>
      </x:c>
    </x:row>
    <x:row r="50" ht="42" customHeight="1">
      <x:c r="A50" s="75" t="inlineStr">
        <x:is>
          <x:t xml:space="preserve">2026-07-26T21:02:36+09:00</x:t>
        </x:is>
      </x:c>
      <x:c r="B50" s="75" t="inlineStr">
        <x:is>
          <x:t xml:space="preserve">2026-07-15T23:00:54Z</x:t>
        </x:is>
      </x:c>
      <x:c r="C50" s="60" t="inlineStr">
        <x:is>
          <x:t xml:space="preserve">Global</x:t>
        </x:is>
      </x:c>
      <x:c r="D50" s="60" t="inlineStr">
        <x:is>
          <x:t xml:space="preserve">United States</x:t>
        </x:is>
      </x:c>
      <x:c r="E50" s="60" t="inlineStr">
        <x:is>
          <x:t xml:space="preserve">Artificial Intelligence | Robotics</x:t>
        </x:is>
      </x:c>
      <x:c r="F50" s="76" t="n">
        <x:v>0</x:v>
      </x:c>
      <x:c r="G50" s="60" t="inlineStr">
        <x:is>
          <x:t xml:space="preserve">Official Company</x:t>
        </x:is>
      </x:c>
      <x:c r="H50" s="60" t="inlineStr">
        <x:is>
          <x:t xml:space="preserve">NVIDIA Blog</x:t>
        </x:is>
      </x:c>
      <x:c r="I50" s="60" t="inlineStr">
        <x:is>
          <x:t xml:space="preserve">NVIDIAがロボティクスとエッジAIを進展させる新しいJetson Thorコンピュータを発表</x:t>
        </x:is>
      </x:c>
      <x:c r="J50" s="60" t="inlineStr">
        <x:is>
          <x:t xml:space="preserve">NVIDIAが新しいJetson Thorコンピュータを発表し、一般向けロボットとエッジAIの需要に応える。</x:t>
        </x:is>
      </x:c>
      <x:c r="K50" s="60" t="inlineStr">
        <x:is>
          <x:t xml:space="preserve">https://blogs.nvidia.com/blog/jetson-thor-robotics-edge-ai-agent/</x:t>
        </x:is>
      </x:c>
      <x:c r="L50" s="60" t="inlineStr">
        <x:is>
          <x:t xml:space="preserve">85f482f3f904d00f68946a80</x:t>
        </x:is>
      </x:c>
      <x:c r="M50" s="75" t="inlineStr">
        <x:is>
          <x:t xml:space="preserve">2026-07-16T08:00:54+09:00</x:t>
        </x:is>
      </x:c>
      <x:c r="N50" s="60" t="inlineStr">
        <x:is>
          <x:t xml:space="preserve">New</x:t>
        </x:is>
      </x:c>
      <x:c r="O50" s="60" t="inlineStr">
        <x:is>
          <x:t xml:space="preserve">枠: Technology Innovation / 学術区分: News &amp; Official Release / 焦点: AIスーパコンピュータモジュール</x:t>
        </x:is>
      </x:c>
    </x:row>
    <x:row r="51" ht="42" customHeight="1">
      <x:c r="A51" s="75" t="inlineStr">
        <x:is>
          <x:t xml:space="preserve">2026-07-26T21:02:36+09:00</x:t>
        </x:is>
      </x:c>
      <x:c r="B51" s="75" t="inlineStr">
        <x:is>
          <x:t xml:space="preserve">2026-07-15T21:00:00Z</x:t>
        </x:is>
      </x:c>
      <x:c r="C51" s="60" t="inlineStr">
        <x:is>
          <x:t xml:space="preserve">United States</x:t>
        </x:is>
      </x:c>
      <x:c r="D51" s="60" t="inlineStr">
        <x:is>
          <x:t xml:space="preserve">United States</x:t>
        </x:is>
      </x:c>
      <x:c r="E51" s="60" t="inlineStr">
        <x:is>
          <x:t xml:space="preserve">Artificial Intelligence</x:t>
        </x:is>
      </x:c>
      <x:c r="F51" s="76" t="n">
        <x:v>0</x:v>
      </x:c>
      <x:c r="G51" s="60" t="inlineStr">
        <x:is>
          <x:t xml:space="preserve">Policy Institute</x:t>
        </x:is>
      </x:c>
      <x:c r="H51" s="60" t="inlineStr">
        <x:is>
          <x:t xml:space="preserve">CSET</x:t>
        </x:is>
      </x:c>
      <x:c r="I51" s="60" t="inlineStr">
        <x:is>
          <x:t xml:space="preserve">GPT-Red: OpenAIが構築したモデルの安全性向上のためのAI</x:t>
        </x:is>
      </x:c>
      <x:c r="J51" s="60" t="inlineStr">
        <x:is>
          <x:t xml:space="preserve">OpenAIが開発したGPT-Redは、大規模言語モデルの脆弱性を自動的に特定し、サイバー攻撃に対する防御を強化するためのAIです。</x:t>
        </x:is>
      </x:c>
      <x:c r="K51" s="60" t="inlineStr">
        <x:is>
          <x:t xml:space="preserve">https://cset.georgetown.edu/article/meet-gpt-red-an-llm-super-hacker-openai-built-to-make-its-models-safer/</x:t>
        </x:is>
      </x:c>
      <x:c r="L51" s="60" t="inlineStr">
        <x:is>
          <x:t xml:space="preserve">f64391d3daf689e78e7ac442</x:t>
        </x:is>
      </x:c>
      <x:c r="M51" s="75" t="inlineStr">
        <x:is>
          <x:t xml:space="preserve">2026-07-16T06:00:00+09:00</x:t>
        </x:is>
      </x:c>
      <x:c r="N51" s="60" t="inlineStr">
        <x:is>
          <x:t xml:space="preserve">New</x:t>
        </x:is>
      </x:c>
      <x:c r="O51" s="60" t="inlineStr">
        <x:is>
          <x:t xml:space="preserve">枠: Technology Innovation / 学術区分: News &amp; Official Release / 焦点: AIの脆弱性を特定する技術</x:t>
        </x:is>
      </x:c>
    </x:row>
    <x:row r="52" ht="42" customHeight="1">
      <x:c r="A52" s="75" t="inlineStr">
        <x:is>
          <x:t xml:space="preserve">2026-07-26T21:02:36+09:00</x:t>
        </x:is>
      </x:c>
      <x:c r="B52" s="75" t="inlineStr">
        <x:is>
          <x:t xml:space="preserve">2026-07-15T12:00:00Z</x:t>
        </x:is>
      </x:c>
      <x:c r="C52" s="60" t="inlineStr">
        <x:is>
          <x:t xml:space="preserve">United States</x:t>
        </x:is>
      </x:c>
      <x:c r="D52" s="60" t="inlineStr">
        <x:is>
          <x:t xml:space="preserve">United States</x:t>
        </x:is>
      </x:c>
      <x:c r="E52" s="60" t="inlineStr">
        <x:is>
          <x:t xml:space="preserve">Artificial Intelligence</x:t>
        </x:is>
      </x:c>
      <x:c r="F52" s="76" t="n">
        <x:v>2</x:v>
      </x:c>
      <x:c r="G52" s="60" t="inlineStr">
        <x:is>
          <x:t xml:space="preserve">Official Company</x:t>
        </x:is>
      </x:c>
      <x:c r="H52" s="60" t="inlineStr">
        <x:is>
          <x:t xml:space="preserve">OpenAI News</x:t>
        </x:is>
      </x:c>
      <x:c r="I52" s="60" t="inlineStr">
        <x:is>
          <x:t xml:space="preserve">米国、州と連邦の行動を通じてAI安全性を推進</x:t>
        </x:is>
      </x:c>
      <x:c r="J52" s="60" t="inlineStr">
        <x:is>
          <x:t xml:space="preserve">OpenAIは、州法が安全で民主的なAIのための国家的フレームワークを構築する「逆連邦主義」アプローチを概説しています。</x:t>
        </x:is>
      </x:c>
      <x:c r="K52" s="60" t="inlineStr">
        <x:is>
          <x:t xml:space="preserve">https://openai.com/index/advancing-ai-safety-through-state-and-federal-action</x:t>
        </x:is>
      </x:c>
      <x:c r="L52" s="60" t="inlineStr">
        <x:is>
          <x:t xml:space="preserve">23b1197c74335456a9552d5a</x:t>
        </x:is>
      </x:c>
      <x:c r="M52" s="75" t="inlineStr">
        <x:is>
          <x:t xml:space="preserve">2026-07-15T21:00:00+09:00</x:t>
        </x:is>
      </x:c>
      <x:c r="N52" s="60" t="inlineStr">
        <x:is>
          <x:t xml:space="preserve">New</x:t>
        </x:is>
      </x:c>
      <x:c r="O52" s="60" t="inlineStr">
        <x:is>
          <x:t xml:space="preserve">枠: Innovation Policy / 政策分野: Regulation &amp; Governance / 学術区分: News &amp; Official Release / 焦点: AIガバナンス</x:t>
        </x:is>
      </x:c>
    </x:row>
    <x:row r="53" ht="42" customHeight="1">
      <x:c r="A53" s="75" t="inlineStr">
        <x:is>
          <x:t xml:space="preserve">2026-07-26T21:02:36+09:00</x:t>
        </x:is>
      </x:c>
      <x:c r="B53" s="75" t="inlineStr">
        <x:is>
          <x:t xml:space="preserve">2026-07-15T10:00:00Z</x:t>
        </x:is>
      </x:c>
      <x:c r="C53" s="60" t="inlineStr">
        <x:is>
          <x:t xml:space="preserve">Global</x:t>
        </x:is>
      </x:c>
      <x:c r="D53" s="60" t="inlineStr">
        <x:is>
          <x:t xml:space="preserve">United States</x:t>
        </x:is>
      </x:c>
      <x:c r="E53" s="60" t="inlineStr">
        <x:is>
          <x:t xml:space="preserve">Healthcare | Artificial Intelligence</x:t>
        </x:is>
      </x:c>
      <x:c r="F53" s="76" t="n">
        <x:v>1</x:v>
      </x:c>
      <x:c r="G53" s="60" t="inlineStr">
        <x:is>
          <x:t xml:space="preserve">Official Company</x:t>
        </x:is>
      </x:c>
      <x:c r="H53" s="60" t="inlineStr">
        <x:is>
          <x:t xml:space="preserve">OpenAI News</x:t>
        </x:is>
      </x:c>
      <x:c r="I53" s="60" t="inlineStr">
        <x:is>
          <x:t xml:space="preserve">Penda HealthとのAI臨床コパイロットの開発</x:t>
        </x:is>
      </x:c>
      <x:c r="J53" s="60" t="inlineStr">
        <x:is>
          <x:t xml:space="preserve">OpenAIとPenda Healthが共同でAI臨床コパイロットを発表し、実際の使用で診断エラーを16%削減した。</x:t>
        </x:is>
      </x:c>
      <x:c r="K53" s="60" t="inlineStr">
        <x:is>
          <x:t xml:space="preserve">https://openai.com/index/ai-clinical-copilot-penda-health</x:t>
        </x:is>
      </x:c>
      <x:c r="L53" s="60" t="inlineStr">
        <x:is>
          <x:t xml:space="preserve">85bbe066139c673fbb76100c</x:t>
        </x:is>
      </x:c>
      <x:c r="M53" s="75" t="inlineStr">
        <x:is>
          <x:t xml:space="preserve">2026-07-15T19:00:00+09:00</x:t>
        </x:is>
      </x:c>
      <x:c r="N53" s="60" t="inlineStr">
        <x:is>
          <x:t xml:space="preserve">New</x:t>
        </x:is>
      </x:c>
      <x:c r="O53" s="60" t="inlineStr">
        <x:is>
          <x:t xml:space="preserve">枠: Technology Innovation / 学術区分: News &amp; Official Release / 焦点: AI臨床コパイロット / Historical backfill from an allowlisted source.</x:t>
        </x:is>
      </x:c>
    </x:row>
    <x:row r="54" ht="42" customHeight="1">
      <x:c r="A54" s="75" t="inlineStr">
        <x:is>
          <x:t xml:space="preserve">2026-07-26T21:02:36+09:00</x:t>
        </x:is>
      </x:c>
      <x:c r="B54" s="75" t="inlineStr">
        <x:is>
          <x:t xml:space="preserve">2026-07-14T16:00:08Z</x:t>
        </x:is>
      </x:c>
      <x:c r="C54" s="60" t="inlineStr">
        <x:is>
          <x:t xml:space="preserve">United States</x:t>
        </x:is>
      </x:c>
      <x:c r="D54" s="60" t="inlineStr">
        <x:is>
          <x:t xml:space="preserve">United States</x:t>
        </x:is>
      </x:c>
      <x:c r="E54" s="60" t="inlineStr">
        <x:is>
          <x:t xml:space="preserve"/>
        </x:is>
      </x:c>
      <x:c r="F54" s="76" t="n">
        <x:v>3</x:v>
      </x:c>
      <x:c r="G54" s="60" t="inlineStr">
        <x:is>
          <x:t xml:space="preserve">Government</x:t>
        </x:is>
      </x:c>
      <x:c r="H54" s="60" t="inlineStr">
        <x:is>
          <x:t xml:space="preserve">National Science Foundation News</x:t>
        </x:is>
      </x:c>
      <x:c r="I54" s="60" t="inlineStr">
        <x:is>
          <x:t xml:space="preserve">NSFが全国の研究、雇用、経済成長を促進するために12の新しい地域イノベーションエンジンを授与</x:t>
        </x:is>
      </x:c>
      <x:c r="J54" s="60" t="inlineStr">
        <x:is>
          <x:t xml:space="preserve">米国科学財団は、全国の20州にわたる12のチームに新しいNSF地域イノベーションエンジンの助成を発表した。これにより、イノベーションクラスターの構築とスケールアップを目指す。</x:t>
        </x:is>
      </x:c>
      <x:c r="K54" s="60" t="inlineStr">
        <x:is>
          <x:t xml:space="preserve">https://www.nsf.gov/news/nsf-awards-12-new-regional-innovation-engines-fuel-research</x:t>
        </x:is>
      </x:c>
      <x:c r="L54" s="60" t="inlineStr">
        <x:is>
          <x:t xml:space="preserve">de4a8c6972dcbf82c2e445b3</x:t>
        </x:is>
      </x:c>
      <x:c r="M54" s="75" t="inlineStr">
        <x:is>
          <x:t xml:space="preserve">2026-07-15T01:00:08+09:00</x:t>
        </x:is>
      </x:c>
      <x:c r="N54" s="60" t="inlineStr">
        <x:is>
          <x:t xml:space="preserve">New</x:t>
        </x:is>
      </x:c>
      <x:c r="O54" s="60" t="inlineStr">
        <x:is>
          <x:t xml:space="preserve">枠: Innovation Policy / 政策分野: National Programs &amp; Strategy / 学術区分: News &amp; Official Release / 焦点: 地域イノベーションエンジン</x:t>
        </x:is>
      </x:c>
    </x:row>
    <x:row r="55" ht="42" customHeight="1">
      <x:c r="A55" s="75" t="inlineStr">
        <x:is>
          <x:t xml:space="preserve">2026-07-26T21:02:36+09:00</x:t>
        </x:is>
      </x:c>
      <x:c r="B55" s="75" t="inlineStr">
        <x:is>
          <x:t xml:space="preserve">2026-07-10T00:00:00Z</x:t>
        </x:is>
      </x:c>
      <x:c r="C55" s="60" t="inlineStr">
        <x:is>
          <x:t xml:space="preserve">Global</x:t>
        </x:is>
      </x:c>
      <x:c r="D55" s="60" t="inlineStr">
        <x:is>
          <x:t xml:space="preserve">Global</x:t>
        </x:is>
      </x:c>
      <x:c r="E55" s="60" t="inlineStr">
        <x:is>
          <x:t xml:space="preserve">Fusion Energy</x:t>
        </x:is>
      </x:c>
      <x:c r="F55" s="76" t="n">
        <x:v>0</x:v>
      </x:c>
      <x:c r="G55" s="60" t="inlineStr">
        <x:is>
          <x:t xml:space="preserve">Journal Article</x:t>
        </x:is>
      </x:c>
      <x:c r="H55" s="60" t="inlineStr">
        <x:is>
          <x:t xml:space="preserve">Nuclear Fusion</x:t>
        </x:is>
      </x:c>
      <x:c r="I55" s="60" t="inlineStr">
        <x:is>
          <x:t xml:space="preserve">ST-E1核融合発電プラントの統合物理と磁石設計</x:t>
        </x:is>
      </x:c>
      <x:c r="J55" s="60" t="inlineStr">
        <x:is>
          <x:t xml:space="preserve">ST-E1は、トカマクエナジーの商業競争力のある核融合発電プラント設計であり、ハイテクスーパコンダクターマグネットケージを特徴としています。</x:t>
        </x:is>
      </x:c>
      <x:c r="K55" s="60" t="inlineStr">
        <x:is>
          <x:t xml:space="preserve">https://doi.org/10.1088/1741-4326/ae773b</x:t>
        </x:is>
      </x:c>
      <x:c r="L55" s="60" t="inlineStr">
        <x:is>
          <x:t xml:space="preserve">a0ed06f7d374240814073762</x:t>
        </x:is>
      </x:c>
      <x:c r="M55" s="75" t="inlineStr">
        <x:is>
          <x:t xml:space="preserve">2026-07-10T09:00:00+09:00</x:t>
        </x:is>
      </x:c>
      <x:c r="N55" s="60" t="inlineStr">
        <x:is>
          <x:t xml:space="preserve">New</x:t>
        </x:is>
      </x:c>
      <x:c r="O55" s="60" t="inlineStr">
        <x:is>
          <x:t xml:space="preserve">枠: Technology Innovation / 学術区分: Journal Article / 査読表示: Journal record — confirm peer review on publisher page / 掲載誌・学会: Nuclear Fusion / 焦点: 核融合技術 / OpenAlex record; work type=article; citations=9</x:t>
        </x:is>
      </x:c>
    </x:row>
    <x:row r="56" ht="42" customHeight="1">
      <x:c r="A56" s="75" t="inlineStr">
        <x:is>
          <x:t xml:space="preserve">2026-07-26T21:02:36+09:00</x:t>
        </x:is>
      </x:c>
      <x:c r="B56" s="75" t="inlineStr">
        <x:is>
          <x:t xml:space="preserve">2026-07-08T08:00:00Z</x:t>
        </x:is>
      </x:c>
      <x:c r="C56" s="60" t="inlineStr">
        <x:is>
          <x:t xml:space="preserve">Asia</x:t>
        </x:is>
      </x:c>
      <x:c r="D56" s="60" t="inlineStr">
        <x:is>
          <x:t xml:space="preserve">South Korea</x:t>
        </x:is>
      </x:c>
      <x:c r="E56" s="60" t="inlineStr">
        <x:is>
          <x:t xml:space="preserve">Artificial Intelligence</x:t>
        </x:is>
      </x:c>
      <x:c r="F56" s="76" t="n">
        <x:v>0</x:v>
      </x:c>
      <x:c r="G56" s="60" t="inlineStr">
        <x:is>
          <x:t xml:space="preserve">Official Company</x:t>
        </x:is>
      </x:c>
      <x:c r="H56" s="60" t="inlineStr">
        <x:is>
          <x:t xml:space="preserve">Samsung Global Newsroom</x:t>
        </x:is>
      </x:c>
      <x:c r="I56" s="60" t="inlineStr">
        <x:is>
          <x:t xml:space="preserve">サムスン、次世代AIインフラ向けに最適化されたPM1763 SSDの量産を開始</x:t>
        </x:is>
      </x:c>
      <x:c r="J56" s="60" t="inlineStr">
        <x:is>
          <x:t xml:space="preserve">サムスン電子は、次世代AIおよびHPCサーバー環境向けに最適化されたPCIe® 6.0ベースの企業向けSSD、PM1763の量産を開始した。</x:t>
        </x:is>
      </x:c>
      <x:c r="K56" s="60" t="inlineStr">
        <x:is>
          <x:t xml:space="preserve">https://news.samsung.com/global/samsung-begins-mass-production-of-pm1763-ssd-optimized-for-next-generation-ai-infrastructure</x:t>
        </x:is>
      </x:c>
      <x:c r="L56" s="60" t="inlineStr">
        <x:is>
          <x:t xml:space="preserve">ffa2f59ee7918b4bbfdce082</x:t>
        </x:is>
      </x:c>
      <x:c r="M56" s="75" t="inlineStr">
        <x:is>
          <x:t xml:space="preserve">2026-07-08T17:00:00+09:00</x:t>
        </x:is>
      </x:c>
      <x:c r="N56" s="60" t="inlineStr">
        <x:is>
          <x:t xml:space="preserve">New</x:t>
        </x:is>
      </x:c>
      <x:c r="O56" s="60" t="inlineStr">
        <x:is>
          <x:t xml:space="preserve">枠: Technology Innovation / 学術区分: News &amp; Official Release / 焦点: PM1763 SSD</x:t>
        </x:is>
      </x:c>
    </x:row>
    <x:row r="57" ht="42" customHeight="1">
      <x:c r="A57" s="75" t="inlineStr">
        <x:is>
          <x:t xml:space="preserve">2026-07-26T21:02:36+09:00</x:t>
        </x:is>
      </x:c>
      <x:c r="B57" s="75" t="inlineStr">
        <x:is>
          <x:t xml:space="preserve">2026-07-07T18:00:07Z</x:t>
        </x:is>
      </x:c>
      <x:c r="C57" s="60" t="inlineStr">
        <x:is>
          <x:t xml:space="preserve">United States</x:t>
        </x:is>
      </x:c>
      <x:c r="D57" s="60" t="inlineStr">
        <x:is>
          <x:t xml:space="preserve">United States</x:t>
        </x:is>
      </x:c>
      <x:c r="E57" s="60" t="inlineStr">
        <x:is>
          <x:t xml:space="preserve">Quantum</x:t>
        </x:is>
      </x:c>
      <x:c r="F57" s="76" t="n">
        <x:v>4</x:v>
      </x:c>
      <x:c r="G57" s="60" t="inlineStr">
        <x:is>
          <x:t xml:space="preserve">Government</x:t>
        </x:is>
      </x:c>
      <x:c r="H57" s="60" t="inlineStr">
        <x:is>
          <x:t xml:space="preserve">National Science Foundation News</x:t>
        </x:is>
      </x:c>
      <x:c r="I57" s="60" t="inlineStr">
        <x:is>
          <x:t xml:space="preserve">NSF、実用的な量子技術を進展させるProject Triadを開始</x:t>
        </x:is>
      </x:c>
      <x:c r="J57" s="60" t="inlineStr">
        <x:is>
          <x:t xml:space="preserve">米国国立科学財団が量子技術を統合する新たなイニシアティブ、Project Triadを発表した。</x:t>
        </x:is>
      </x:c>
      <x:c r="K57" s="60" t="inlineStr">
        <x:is>
          <x:t xml:space="preserve">https://www.nsf.gov/news/nsf-launches-project-triad-advance-quantum-technology-real</x:t>
        </x:is>
      </x:c>
      <x:c r="L57" s="60" t="inlineStr">
        <x:is>
          <x:t xml:space="preserve">2d4a226d3ce7cc9e366e902d</x:t>
        </x:is>
      </x:c>
      <x:c r="M57" s="75" t="inlineStr">
        <x:is>
          <x:t xml:space="preserve">2026-07-08T03:00:07+09:00</x:t>
        </x:is>
      </x:c>
      <x:c r="N57" s="60" t="inlineStr">
        <x:is>
          <x:t xml:space="preserve">New</x:t>
        </x:is>
      </x:c>
      <x:c r="O57" s="60" t="inlineStr">
        <x:is>
          <x:t xml:space="preserve">枠: Innovation Policy / 政策分野: National Programs &amp; Strategy / 学術区分: News &amp; Official Release / 焦点: Project Triad</x:t>
        </x:is>
      </x:c>
    </x:row>
    <x:row r="58" ht="42" customHeight="1">
      <x:c r="A58" s="75" t="inlineStr">
        <x:is>
          <x:t xml:space="preserve">2026-07-26T21:02:36+09:00</x:t>
        </x:is>
      </x:c>
      <x:c r="B58" s="75" t="inlineStr">
        <x:is>
          <x:t xml:space="preserve">2026-06-29T21:14:22Z</x:t>
        </x:is>
      </x:c>
      <x:c r="C58" s="60" t="inlineStr">
        <x:is>
          <x:t xml:space="preserve">Global</x:t>
        </x:is>
      </x:c>
      <x:c r="D58" s="60" t="inlineStr">
        <x:is>
          <x:t xml:space="preserve">United States</x:t>
        </x:is>
      </x:c>
      <x:c r="E58" s="60" t="inlineStr">
        <x:is>
          <x:t xml:space="preserve">Artificial Intelligence</x:t>
        </x:is>
      </x:c>
      <x:c r="F58" s="76" t="n">
        <x:v>0</x:v>
      </x:c>
      <x:c r="G58" s="60" t="inlineStr">
        <x:is>
          <x:t xml:space="preserve">Official Company</x:t>
        </x:is>
      </x:c>
      <x:c r="H58" s="60" t="inlineStr">
        <x:is>
          <x:t xml:space="preserve">Microsoft Research</x:t>
        </x:is>
      </x:c>
      <x:c r="I58" s="60" t="inlineStr">
        <x:is>
          <x:t xml:space="preserve">Memora: 抽象と特異性のバランスを取る調和的メモリ表現</x:t>
        </x:is>
      </x:c>
      <x:c r="J58" s="60" t="inlineStr">
        <x:is>
          <x:t xml:space="preserve">AIエージェントが過去の会話を記憶できない問題を解決するために、Memoraがスケーラブルなメモリシステムを提案した。</x:t>
        </x:is>
      </x:c>
      <x:c r="K58" s="60" t="inlineStr">
        <x:is>
          <x:t xml:space="preserve">https://www.microsoft.com/en-us/research/blog/memora-a-harmonic-memory-representation-balancing-abstraction-and-specificity/</x:t>
        </x:is>
      </x:c>
      <x:c r="L58" s="60" t="inlineStr">
        <x:is>
          <x:t xml:space="preserve">6c035ef4d4202a4874e60b97</x:t>
        </x:is>
      </x:c>
      <x:c r="M58" s="75" t="inlineStr">
        <x:is>
          <x:t xml:space="preserve">2026-06-30T06:14:22+09:00</x:t>
        </x:is>
      </x:c>
      <x:c r="N58" s="60" t="inlineStr">
        <x:is>
          <x:t xml:space="preserve">New</x:t>
        </x:is>
      </x:c>
      <x:c r="O58" s="60" t="inlineStr">
        <x:is>
          <x:t xml:space="preserve">枠: Technology Innovation / 学術区分: News &amp; Official Release / 焦点: AIメモリシステム</x:t>
        </x:is>
      </x:c>
    </x:row>
    <x:row r="59" ht="42" customHeight="1">
      <x:c r="A59" s="75" t="inlineStr">
        <x:is>
          <x:t xml:space="preserve">2026-07-26T21:02:36+09:00</x:t>
        </x:is>
      </x:c>
      <x:c r="B59" s="75" t="inlineStr">
        <x:is>
          <x:t xml:space="preserve">2026-06-29T12:00:00Z</x:t>
        </x:is>
      </x:c>
      <x:c r="C59" s="60" t="inlineStr">
        <x:is>
          <x:t xml:space="preserve">United States</x:t>
        </x:is>
      </x:c>
      <x:c r="D59" s="60" t="inlineStr">
        <x:is>
          <x:t xml:space="preserve">United States</x:t>
        </x:is>
      </x:c>
      <x:c r="E59" s="60" t="inlineStr">
        <x:is>
          <x:t xml:space="preserve">Quantum</x:t>
        </x:is>
      </x:c>
      <x:c r="F59" s="76" t="n">
        <x:v>3</x:v>
      </x:c>
      <x:c r="G59" s="60" t="inlineStr">
        <x:is>
          <x:t xml:space="preserve">Government</x:t>
        </x:is>
      </x:c>
      <x:c r="H59" s="60" t="inlineStr">
        <x:is>
          <x:t xml:space="preserve">NIST News</x:t>
        </x:is>
      </x:c>
      <x:c r="I59" s="60" t="inlineStr">
        <x:is>
          <x:t xml:space="preserve">NIST、量子技術の製造を推進するセンターを設立</x:t>
        </x:is>
      </x:c>
      <x:c r="J59" s="60" t="inlineStr">
        <x:is>
          <x:t xml:space="preserve">NISTは、量子製造工学センター（QMEC）を設立するためにSRIインターナショナルとの合意を発表した。</x:t>
        </x:is>
      </x:c>
      <x:c r="K59" s="60" t="inlineStr">
        <x:is>
          <x:t xml:space="preserve">https://www.nist.gov/news-events/news/2026/06/nist-launches-center-drive-manufacture-quantum-technologies</x:t>
        </x:is>
      </x:c>
      <x:c r="L59" s="60" t="inlineStr">
        <x:is>
          <x:t xml:space="preserve">2d90197d96166b4d1d7f7c11</x:t>
        </x:is>
      </x:c>
      <x:c r="M59" s="75" t="inlineStr">
        <x:is>
          <x:t xml:space="preserve">2026-06-29T21:00:00+09:00</x:t>
        </x:is>
      </x:c>
      <x:c r="N59" s="60" t="inlineStr">
        <x:is>
          <x:t xml:space="preserve">New</x:t>
        </x:is>
      </x:c>
      <x:c r="O59" s="60" t="inlineStr">
        <x:is>
          <x:t xml:space="preserve">枠: Innovation Policy / 政策分野: Public Procurement &amp; Industrial Policy / 学術区分: News &amp; Official Release / 焦点: 量子製造工学センターの設立</x:t>
        </x:is>
      </x:c>
    </x:row>
    <x:row r="60" ht="42" customHeight="1">
      <x:c r="A60" s="75" t="inlineStr">
        <x:is>
          <x:t xml:space="preserve">2026-07-26T21:02:36+09:00</x:t>
        </x:is>
      </x:c>
      <x:c r="B60" s="75" t="inlineStr">
        <x:is>
          <x:t xml:space="preserve">2026-06-26T04:47:39Z</x:t>
        </x:is>
      </x:c>
      <x:c r="C60" s="60" t="inlineStr">
        <x:is>
          <x:t xml:space="preserve">United States</x:t>
        </x:is>
      </x:c>
      <x:c r="D60" s="60" t="inlineStr">
        <x:is>
          <x:t xml:space="preserve">Japan</x:t>
        </x:is>
      </x:c>
      <x:c r="E60" s="60" t="inlineStr">
        <x:is>
          <x:t xml:space="preserve"/>
        </x:is>
      </x:c>
      <x:c r="F60" s="76" t="n">
        <x:v>4</x:v>
      </x:c>
      <x:c r="G60" s="60" t="inlineStr">
        <x:is>
          <x:t xml:space="preserve">Government</x:t>
        </x:is>
      </x:c>
      <x:c r="H60" s="60" t="inlineStr">
        <x:is>
          <x:t xml:space="preserve">NISTEP Updates</x:t>
        </x:is>
      </x:c>
      <x:c r="I60" s="60" t="inlineStr">
        <x:is>
          <x:t xml:space="preserve">研究文化をめぐる対話と展開に関する資料公開</x:t>
        </x:is>
      </x:c>
      <x:c r="J60" s="60" t="inlineStr">
        <x:is>
          <x:t xml:space="preserve">文部科学省が研究者対象のウェルビーイングと研究文化に関する全国調査の準備を進めています。</x:t>
        </x:is>
      </x:c>
      <x:c r="K60" s="60" t="inlineStr">
        <x:is>
          <x:t xml:space="preserve">https://www.nistep.go.jp/archives/63398/</x:t>
        </x:is>
      </x:c>
      <x:c r="L60" s="60" t="inlineStr">
        <x:is>
          <x:t xml:space="preserve">ff67a3172cc526b012791921</x:t>
        </x:is>
      </x:c>
      <x:c r="M60" s="75" t="inlineStr">
        <x:is>
          <x:t xml:space="preserve">2026-06-26T13:47:39+09:00</x:t>
        </x:is>
      </x:c>
      <x:c r="N60" s="60" t="inlineStr">
        <x:is>
          <x:t xml:space="preserve">New</x:t>
        </x:is>
      </x:c>
      <x:c r="O60" s="60" t="inlineStr">
        <x:is>
          <x:t xml:space="preserve">枠: Innovation Policy / 政策分野: National Programs &amp; Strategy / 学術区分: News &amp; Official Release / 焦点: 研究者のウェルビーイングと研究文化</x:t>
        </x:is>
      </x:c>
    </x:row>
    <x:row r="61" ht="42" customHeight="1">
      <x:c r="A61" s="75" t="inlineStr">
        <x:is>
          <x:t xml:space="preserve">2026-07-26T21:02:36+09:00</x:t>
        </x:is>
      </x:c>
      <x:c r="B61" s="75" t="inlineStr">
        <x:is>
          <x:t xml:space="preserve">2026-06-26T01:30:26Z</x:t>
        </x:is>
      </x:c>
      <x:c r="C61" s="60" t="inlineStr">
        <x:is>
          <x:t xml:space="preserve">Asia</x:t>
        </x:is>
      </x:c>
      <x:c r="D61" s="60" t="inlineStr">
        <x:is>
          <x:t xml:space="preserve">Japan</x:t>
        </x:is>
      </x:c>
      <x:c r="E61" s="60" t="inlineStr">
        <x:is>
          <x:t xml:space="preserve"/>
        </x:is>
      </x:c>
      <x:c r="F61" s="76" t="n">
        <x:v>5</x:v>
      </x:c>
      <x:c r="G61" s="60" t="inlineStr">
        <x:is>
          <x:t xml:space="preserve">Government</x:t>
        </x:is>
      </x:c>
      <x:c r="H61" s="60" t="inlineStr">
        <x:is>
          <x:t xml:space="preserve">NISTEP Updates</x:t>
        </x:is>
      </x:c>
      <x:c r="I61" s="60" t="inlineStr">
        <x:is>
          <x:t xml:space="preserve">親子企業間の資源再配分と特許活動の特性</x:t>
        </x:is>
      </x:c>
      <x:c r="J61" s="60" t="inlineStr">
        <x:is>
          <x:t xml:space="preserve">親子企業間での研究開発資源の移動に関する特許活動の特性についての実証分析が行われました。</x:t>
        </x:is>
      </x:c>
      <x:c r="K61" s="60" t="inlineStr">
        <x:is>
          <x:t xml:space="preserve">https://www.nistep.go.jp/archives/63333/</x:t>
        </x:is>
      </x:c>
      <x:c r="L61" s="60" t="inlineStr">
        <x:is>
          <x:t xml:space="preserve">25352f245236dac75576baa7</x:t>
        </x:is>
      </x:c>
      <x:c r="M61" s="75" t="inlineStr">
        <x:is>
          <x:t xml:space="preserve">2026-06-26T10:30:26+09:00</x:t>
        </x:is>
      </x:c>
      <x:c r="N61" s="60" t="inlineStr">
        <x:is>
          <x:t xml:space="preserve">New</x:t>
        </x:is>
      </x:c>
      <x:c r="O61" s="60" t="inlineStr">
        <x:is>
          <x:t xml:space="preserve">枠: Innovation Policy / 政策分野: National Programs &amp; Strategy | Patents &amp; Intellectual Property / 学術区分: News &amp; Official Release / 焦点: 親子企業間の資源再配分と特許活動</x:t>
        </x:is>
      </x:c>
    </x:row>
    <x:row r="62" ht="42" customHeight="1">
      <x:c r="A62" s="75" t="inlineStr">
        <x:is>
          <x:t xml:space="preserve">2026-07-26T21:02:36+09:00</x:t>
        </x:is>
      </x:c>
      <x:c r="B62" s="75" t="inlineStr">
        <x:is>
          <x:t xml:space="preserve">2026-06-25T05:26:14Z</x:t>
        </x:is>
      </x:c>
      <x:c r="C62" s="60" t="inlineStr">
        <x:is>
          <x:t xml:space="preserve">United States</x:t>
        </x:is>
      </x:c>
      <x:c r="D62" s="60" t="inlineStr">
        <x:is>
          <x:t xml:space="preserve">United States</x:t>
        </x:is>
      </x:c>
      <x:c r="E62" s="60" t="inlineStr">
        <x:is>
          <x:t xml:space="preserve"/>
        </x:is>
      </x:c>
      <x:c r="F62" s="76" t="n">
        <x:v>4</x:v>
      </x:c>
      <x:c r="G62" s="60" t="inlineStr">
        <x:is>
          <x:t xml:space="preserve">Government</x:t>
        </x:is>
      </x:c>
      <x:c r="H62" s="60" t="inlineStr">
        <x:is>
          <x:t xml:space="preserve">DOE Office of Science News</x:t>
        </x:is>
      </x:c>
      <x:c r="I62" s="60" t="inlineStr">
        <x:is>
          <x:t xml:space="preserve">米国エネルギー省が国内供給網を強化</x:t>
        </x:is>
      </x:c>
      <x:c r="J62" s="60" t="inlineStr">
        <x:is>
          <x:t xml:space="preserve">米国エネルギー省がイリジウム-192の国内生産能力を確立しました。</x:t>
        </x:is>
      </x:c>
      <x:c r="K62" s="60" t="inlineStr">
        <x:is>
          <x:t xml:space="preserve">https://www.energy.gov/science/articles/doe-strengthens-domestic-supply-chain-american-energy-and-manufacturing</x:t>
        </x:is>
      </x:c>
      <x:c r="L62" s="60" t="inlineStr">
        <x:is>
          <x:t xml:space="preserve">62854e5795f9fac8f0427e2f</x:t>
        </x:is>
      </x:c>
      <x:c r="M62" s="75" t="inlineStr">
        <x:is>
          <x:t xml:space="preserve">2026-06-25T14:26:14+09:00</x:t>
        </x:is>
      </x:c>
      <x:c r="N62" s="60" t="inlineStr">
        <x:is>
          <x:t xml:space="preserve">New</x:t>
        </x:is>
      </x:c>
      <x:c r="O62" s="60" t="inlineStr">
        <x:is>
          <x:t xml:space="preserve">枠: Innovation Policy / 政策分野: National Programs &amp; Strategy / 学術区分: News &amp; Official Release / 焦点: イリジウム-192の国内生産能力</x:t>
        </x:is>
      </x:c>
    </x:row>
    <x:row r="63" ht="42" customHeight="1">
      <x:c r="A63" s="75" t="inlineStr">
        <x:is>
          <x:t xml:space="preserve">2026-07-26T21:02:36+09:00</x:t>
        </x:is>
      </x:c>
      <x:c r="B63" s="75" t="inlineStr">
        <x:is>
          <x:t xml:space="preserve">2026-06-25T04:00:24Z</x:t>
        </x:is>
      </x:c>
      <x:c r="C63" s="60" t="inlineStr">
        <x:is>
          <x:t xml:space="preserve">United States</x:t>
        </x:is>
      </x:c>
      <x:c r="D63" s="60" t="inlineStr">
        <x:is>
          <x:t xml:space="preserve">Japan</x:t>
        </x:is>
      </x:c>
      <x:c r="E63" s="60" t="inlineStr">
        <x:is>
          <x:t xml:space="preserve"/>
        </x:is>
      </x:c>
      <x:c r="F63" s="76" t="n">
        <x:v>4</x:v>
      </x:c>
      <x:c r="G63" s="60" t="inlineStr">
        <x:is>
          <x:t xml:space="preserve">Government</x:t>
        </x:is>
      </x:c>
      <x:c r="H63" s="60" t="inlineStr">
        <x:is>
          <x:t xml:space="preserve">NISTEP Updates</x:t>
        </x:is>
      </x:c>
      <x:c r="I63" s="60" t="inlineStr">
        <x:is>
          <x:t xml:space="preserve">STI Horizon誌2026夏号の公表</x:t>
        </x:is>
      </x:c>
      <x:c r="J63" s="60" t="inlineStr">
        <x:is>
          <x:t xml:space="preserve">NISTEPが科学技術・イノベーション政策に関する情報を幅広く掲載したSTI Horizon 2026夏号を公表しました。</x:t>
        </x:is>
      </x:c>
      <x:c r="K63" s="60" t="inlineStr">
        <x:is>
          <x:t xml:space="preserve">https://www.nistep.go.jp/archives/63155/</x:t>
        </x:is>
      </x:c>
      <x:c r="L63" s="60" t="inlineStr">
        <x:is>
          <x:t xml:space="preserve">79d88af79ddda07d59b28e08</x:t>
        </x:is>
      </x:c>
      <x:c r="M63" s="75" t="inlineStr">
        <x:is>
          <x:t xml:space="preserve">2026-06-25T13:00:24+09:00</x:t>
        </x:is>
      </x:c>
      <x:c r="N63" s="60" t="inlineStr">
        <x:is>
          <x:t xml:space="preserve">New</x:t>
        </x:is>
      </x:c>
      <x:c r="O63" s="60" t="inlineStr">
        <x:is>
          <x:t xml:space="preserve">枠: Innovation Policy / 政策分野: National Programs &amp; Strategy / 学術区分: News &amp; Official Release / 焦点: 科学技術・イノベーション政策</x:t>
        </x:is>
      </x:c>
    </x:row>
    <x:row r="64" ht="42" customHeight="1">
      <x:c r="A64" s="75" t="inlineStr">
        <x:is>
          <x:t xml:space="preserve">2026-07-26T21:02:36+09:00</x:t>
        </x:is>
      </x:c>
      <x:c r="B64" s="75" t="inlineStr">
        <x:is>
          <x:t xml:space="preserve">2026-06-23T14:26:00Z</x:t>
        </x:is>
      </x:c>
      <x:c r="C64" s="60" t="inlineStr">
        <x:is>
          <x:t xml:space="preserve">EU &amp; Europe</x:t>
        </x:is>
      </x:c>
      <x:c r="D64" s="60" t="inlineStr">
        <x:is>
          <x:t xml:space="preserve">United Kingdom</x:t>
        </x:is>
      </x:c>
      <x:c r="E64" s="60" t="inlineStr">
        <x:is>
          <x:t xml:space="preserve">Robotics</x:t>
        </x:is>
      </x:c>
      <x:c r="F64" s="76" t="n">
        <x:v>2</x:v>
      </x:c>
      <x:c r="G64" s="60" t="inlineStr">
        <x:is>
          <x:t xml:space="preserve">Government</x:t>
        </x:is>
      </x:c>
      <x:c r="H64" s="60" t="inlineStr">
        <x:is>
          <x:t xml:space="preserve">UK DSIT</x:t>
        </x:is>
      </x:c>
      <x:c r="I64" s="60" t="inlineStr">
        <x:is>
          <x:t xml:space="preserve">Sellafieldの清掃を助ける新しいロボット</x:t>
        </x:is>
      </x:c>
      <x:c r="J64" s="60" t="inlineStr">
        <x:is>
          <x:t xml:space="preserve">リモート操作された機械がSellafieldの最も危険な核廃棄物保管所に初めて送られ、清掃作業を支援している。</x:t>
        </x:is>
      </x:c>
      <x:c r="K64" s="60" t="inlineStr">
        <x:is>
          <x:t xml:space="preserve">https://gov.uk/government/news/the-new-robot-helping-clean-up-sellafield</x:t>
        </x:is>
      </x:c>
      <x:c r="L64" s="60" t="inlineStr">
        <x:is>
          <x:t xml:space="preserve">132391c846d95677d6ca86ff</x:t>
        </x:is>
      </x:c>
      <x:c r="M64" s="75" t="inlineStr">
        <x:is>
          <x:t xml:space="preserve">2026-06-23T23:26:00+09:00</x:t>
        </x:is>
      </x:c>
      <x:c r="N64" s="60" t="inlineStr">
        <x:is>
          <x:t xml:space="preserve">New</x:t>
        </x:is>
      </x:c>
      <x:c r="O64" s="60" t="inlineStr">
        <x:is>
          <x:t xml:space="preserve">枠: Technology Innovation / 学術区分: News &amp; Official Release / 焦点: Sellafieldでのロボットの使用 / Historical backfill from an allowlisted source.</x:t>
        </x:is>
      </x:c>
    </x:row>
    <x:row r="65" ht="42" customHeight="1">
      <x:c r="A65" s="75" t="inlineStr">
        <x:is>
          <x:t xml:space="preserve">2026-07-26T21:02:36+09:00</x:t>
        </x:is>
      </x:c>
      <x:c r="B65" s="75" t="inlineStr">
        <x:is>
          <x:t xml:space="preserve">2026-06-23T11:43:57Z</x:t>
        </x:is>
      </x:c>
      <x:c r="C65" s="60" t="inlineStr">
        <x:is>
          <x:t xml:space="preserve">United States</x:t>
        </x:is>
      </x:c>
      <x:c r="D65" s="60" t="inlineStr">
        <x:is>
          <x:t xml:space="preserve">United States</x:t>
        </x:is>
      </x:c>
      <x:c r="E65" s="60" t="inlineStr">
        <x:is>
          <x:t xml:space="preserve">Quantum</x:t>
        </x:is>
      </x:c>
      <x:c r="F65" s="76" t="n">
        <x:v>5</x:v>
      </x:c>
      <x:c r="G65" s="60" t="inlineStr">
        <x:is>
          <x:t xml:space="preserve">Government</x:t>
        </x:is>
      </x:c>
      <x:c r="H65" s="60" t="inlineStr">
        <x:is>
          <x:t xml:space="preserve">DOE Office of Science News</x:t>
        </x:is>
      </x:c>
      <x:c r="I65" s="60" t="inlineStr">
        <x:is>
          <x:t xml:space="preserve">エネルギー省、科学的に関連する耐障害量子コンピュータの創出と展開に関するイニシアティブを発表</x:t>
        </x:is>
      </x:c>
      <x:c r="J65" s="60" t="inlineStr">
        <x:is>
          <x:t xml:space="preserve">米国エネルギー省が、科学的に関連する耐障害量子コンピュータを創出し展開するためのイニシアティブを発表した。</x:t>
        </x:is>
      </x:c>
      <x:c r="K65" s="60" t="inlineStr">
        <x:is>
          <x:t xml:space="preserve">https://www.energy.gov/science/articles/energy-department-announces-initiative-create-and-deploy-worlds-first</x:t>
        </x:is>
      </x:c>
      <x:c r="L65" s="60" t="inlineStr">
        <x:is>
          <x:t xml:space="preserve">9e1d8ad5a7ac944965b9f2bd</x:t>
        </x:is>
      </x:c>
      <x:c r="M65" s="75" t="inlineStr">
        <x:is>
          <x:t xml:space="preserve">2026-06-23T20:43:57+09:00</x:t>
        </x:is>
      </x:c>
      <x:c r="N65" s="60" t="inlineStr">
        <x:is>
          <x:t xml:space="preserve">New</x:t>
        </x:is>
      </x:c>
      <x:c r="O65" s="60" t="inlineStr">
        <x:is>
          <x:t xml:space="preserve">枠: Innovation Policy / 政策分野: National Programs &amp; Strategy / 学術区分: News &amp; Official Release / 焦点: 量子コンピュータの開発</x:t>
        </x:is>
      </x:c>
    </x:row>
    <x:row r="66" ht="42" customHeight="1">
      <x:c r="A66" s="75" t="inlineStr">
        <x:is>
          <x:t xml:space="preserve">2026-07-26T22:54:37+09:00</x:t>
        </x:is>
      </x:c>
      <x:c r="B66" s="75" t="inlineStr">
        <x:is>
          <x:t xml:space="preserve">2026-06-17T00:00:00Z</x:t>
        </x:is>
      </x:c>
      <x:c r="C66" s="60" t="inlineStr">
        <x:is>
          <x:t xml:space="preserve">EU &amp; Europe</x:t>
        </x:is>
      </x:c>
      <x:c r="D66" s="60" t="inlineStr">
        <x:is>
          <x:t xml:space="preserve">European Union</x:t>
        </x:is>
      </x:c>
      <x:c r="E66" s="60" t="inlineStr">
        <x:is>
          <x:t xml:space="preserve"/>
        </x:is>
      </x:c>
      <x:c r="F66" s="76" t="n">
        <x:v>5</x:v>
      </x:c>
      <x:c r="G66" s="60" t="inlineStr">
        <x:is>
          <x:t xml:space="preserve">Government</x:t>
        </x:is>
      </x:c>
      <x:c r="H66" s="60" t="inlineStr">
        <x:is>
          <x:t xml:space="preserve">European Innovation Council Policy Benchmarks</x:t>
        </x:is>
      </x:c>
      <x:c r="I66" s="60" t="inlineStr">
        <x:is>
          <x:t xml:space="preserve">EIC、14億ユーロ超の2026年ワークプログラムを改定</x:t>
        </x:is>
      </x:c>
      <x:c r="J66" s="60" t="inlineStr">
        <x:is>
          <x:t xml:space="preserve">欧州イノベーション会議は、総額14億ユーロ超の2026年ワークプログラムを改定した。Pathfinder、Transition、Accelerator、STEP Scale Upなどで研究から事業拡大までを支援し、防衛・デュアルユース技術も対象に加えた。</x:t>
        </x:is>
      </x:c>
      <x:c r="K66" s="60" t="inlineStr">
        <x:is>
          <x:t xml:space="preserve">https://eic.ec.europa.eu/eic-funding-opportunities/eic-2026-work-programme_en</x:t>
        </x:is>
      </x:c>
      <x:c r="L66" s="60" t="inlineStr">
        <x:is>
          <x:t xml:space="preserve">d4c7b12d61b3d909256f0d10</x:t>
        </x:is>
      </x:c>
      <x:c r="M66" s="75" t="inlineStr">
        <x:is>
          <x:t xml:space="preserve">2026-06-17T09:00:00+09:00</x:t>
        </x:is>
      </x:c>
      <x:c r="N66" s="60" t="inlineStr">
        <x:is>
          <x:t xml:space="preserve">New</x:t>
        </x:is>
      </x:c>
      <x:c r="O66" s="60" t="inlineStr">
        <x:is>
          <x:t xml:space="preserve">枠: Innovation Policy / 政策分野: R&amp;D Funding &amp; Tax Incentives | National Programs &amp; Strategy | Public Procurement &amp; Industrial Policy / 学術区分: News &amp; Official Release / 焦点: EUの研究・ディープテック事業化・スケールアップ支援 / Pinned official policy benchmark.</x:t>
        </x:is>
      </x:c>
    </x:row>
    <x:row r="67" ht="42" customHeight="1">
      <x:c r="A67" s="75" t="inlineStr">
        <x:is>
          <x:t xml:space="preserve">2026-07-26T21:02:36+09:00</x:t>
        </x:is>
      </x:c>
      <x:c r="B67" s="75" t="inlineStr">
        <x:is>
          <x:t xml:space="preserve">2026-06-15T15:23:31Z</x:t>
        </x:is>
      </x:c>
      <x:c r="C67" s="60" t="inlineStr">
        <x:is>
          <x:t xml:space="preserve">United States</x:t>
        </x:is>
      </x:c>
      <x:c r="D67" s="60" t="inlineStr">
        <x:is>
          <x:t xml:space="preserve">United States</x:t>
        </x:is>
      </x:c>
      <x:c r="E67" s="60" t="inlineStr">
        <x:is>
          <x:t xml:space="preserve">Healthcare</x:t>
        </x:is>
      </x:c>
      <x:c r="F67" s="76" t="n">
        <x:v>4</x:v>
      </x:c>
      <x:c r="G67" s="60" t="inlineStr">
        <x:is>
          <x:t xml:space="preserve">Government</x:t>
        </x:is>
      </x:c>
      <x:c r="H67" s="60" t="inlineStr">
        <x:is>
          <x:t xml:space="preserve">NIH News Releases</x:t>
        </x:is>
      </x:c>
      <x:c r="I67" s="60" t="inlineStr">
        <x:is>
          <x:t xml:space="preserve">研究影響を高めるための再現性向上イニシアティブ</x:t>
        </x:is>
      </x:c>
      <x:c r="J67" s="60" t="inlineStr">
        <x:is>
          <x:t xml:space="preserve">新しい生物医学研究が人間の健康に関する理解を深め、病気治療の新たな方法を提供することを目指す。独立した再現は、研究者に追加データを提供し、将来の研究プロジェクトの基盤を強化する。</x:t>
        </x:is>
      </x:c>
      <x:c r="K67" s="60" t="inlineStr">
        <x:is>
          <x:t xml:space="preserve">https://nih.gov/common-fund/common-fund-programs/replication-enhance-research-impact-initiative</x:t>
        </x:is>
      </x:c>
      <x:c r="L67" s="60" t="inlineStr">
        <x:is>
          <x:t xml:space="preserve">1b5e51bc8d4c51589eee5027</x:t>
        </x:is>
      </x:c>
      <x:c r="M67" s="75" t="inlineStr">
        <x:is>
          <x:t xml:space="preserve">2026-06-16T00:23:31+09:00</x:t>
        </x:is>
      </x:c>
      <x:c r="N67" s="60" t="inlineStr">
        <x:is>
          <x:t xml:space="preserve">New</x:t>
        </x:is>
      </x:c>
      <x:c r="O67" s="60" t="inlineStr">
        <x:is>
          <x:t xml:space="preserve">枠: Technology Innovation / 政策分野: Patents &amp; Intellectual Property / 学術区分: News &amp; Official Release / 焦点: 生物医学研究の再現性 / Historical backfill from an allowlisted source.</x:t>
        </x:is>
      </x:c>
    </x:row>
    <x:row r="68" ht="42" customHeight="1">
      <x:c r="A68" s="75" t="inlineStr">
        <x:is>
          <x:t xml:space="preserve">2026-07-26T21:02:36+09:00</x:t>
        </x:is>
      </x:c>
      <x:c r="B68" s="75" t="inlineStr">
        <x:is>
          <x:t xml:space="preserve">2026-06-15T00:00:00Z</x:t>
        </x:is>
      </x:c>
      <x:c r="C68" s="60" t="inlineStr">
        <x:is>
          <x:t xml:space="preserve">EU &amp; Europe</x:t>
        </x:is>
      </x:c>
      <x:c r="D68" s="60" t="inlineStr">
        <x:is>
          <x:t xml:space="preserve">International / France</x:t>
        </x:is>
      </x:c>
      <x:c r="E68" s="60" t="inlineStr">
        <x:is>
          <x:t xml:space="preserve">Fusion Energy</x:t>
        </x:is>
      </x:c>
      <x:c r="F68" s="76" t="n">
        <x:v>2</x:v>
      </x:c>
      <x:c r="G68" s="60" t="inlineStr">
        <x:is>
          <x:t xml:space="preserve">Intergovernmental</x:t>
        </x:is>
      </x:c>
      <x:c r="H68" s="60" t="inlineStr">
        <x:is>
          <x:t xml:space="preserve">ITER News</x:t>
        </x:is>
      </x:c>
      <x:c r="I68" s="60" t="inlineStr">
        <x:is>
          <x:t xml:space="preserve">世界中から一つのアセンブリラインへ</x:t>
        </x:is>
      </x:c>
      <x:c r="J68" s="60" t="inlineStr">
        <x:is>
          <x:t xml:space="preserve">ITERダイバータが新たな統合段階に入り、設計・製造の数十年を経て新しいフェーズに突入した。</x:t>
        </x:is>
      </x:c>
      <x:c r="K68" s="60" t="inlineStr">
        <x:is>
          <x:t xml:space="preserve">https://www.iter.org/node/20687/around-world-one-assembly-line</x:t>
        </x:is>
      </x:c>
      <x:c r="L68" s="60" t="inlineStr">
        <x:is>
          <x:t xml:space="preserve">ac71361e131ee1a80ac51837</x:t>
        </x:is>
      </x:c>
      <x:c r="M68" s="75" t="inlineStr">
        <x:is>
          <x:t xml:space="preserve">2026-06-15T09:00:00+09:00</x:t>
        </x:is>
      </x:c>
      <x:c r="N68" s="60" t="inlineStr">
        <x:is>
          <x:t xml:space="preserve">New</x:t>
        </x:is>
      </x:c>
      <x:c r="O68" s="60" t="inlineStr">
        <x:is>
          <x:t xml:space="preserve">枠: Technology Innovation / 学術区分: News &amp; Official Release / 焦点: ITERダイバータの統合</x:t>
        </x:is>
      </x:c>
    </x:row>
    <x:row r="69" ht="42" customHeight="1">
      <x:c r="A69" s="75" t="inlineStr">
        <x:is>
          <x:t xml:space="preserve">2026-07-26T21:02:36+09:00</x:t>
        </x:is>
      </x:c>
      <x:c r="B69" s="75" t="inlineStr">
        <x:is>
          <x:t xml:space="preserve">2026-06-15T00:00:00Z</x:t>
        </x:is>
      </x:c>
      <x:c r="C69" s="60" t="inlineStr">
        <x:is>
          <x:t xml:space="preserve">EU &amp; Europe</x:t>
        </x:is>
      </x:c>
      <x:c r="D69" s="60" t="inlineStr">
        <x:is>
          <x:t xml:space="preserve">International / France</x:t>
        </x:is>
      </x:c>
      <x:c r="E69" s="60" t="inlineStr">
        <x:is>
          <x:t xml:space="preserve">Fusion Energy</x:t>
        </x:is>
      </x:c>
      <x:c r="F69" s="76" t="n">
        <x:v>2</x:v>
      </x:c>
      <x:c r="G69" s="60" t="inlineStr">
        <x:is>
          <x:t xml:space="preserve">Intergovernmental</x:t>
        </x:is>
      </x:c>
      <x:c r="H69" s="60" t="inlineStr">
        <x:is>
          <x:t xml:space="preserve">ITER News</x:t>
        </x:is>
      </x:c>
      <x:c r="I69" s="60" t="inlineStr">
        <x:is>
          <x:t xml:space="preserve">馬の年に先を行く</x:t>
        </x:is>
      </x:c>
      <x:c r="J69" s="60" t="inlineStr">
        <x:is>
          <x:t xml:space="preserve">ITERでの真空容器の組立が予定よりも早く進行中で、経験と調整の利点が示されている。</x:t>
        </x:is>
      </x:c>
      <x:c r="K69" s="60" t="inlineStr">
        <x:is>
          <x:t xml:space="preserve">https://www.iter.org/node/20687/galloping-ahead-year-horse</x:t>
        </x:is>
      </x:c>
      <x:c r="L69" s="60" t="inlineStr">
        <x:is>
          <x:t xml:space="preserve">47f993ca6a92c4175db656f6</x:t>
        </x:is>
      </x:c>
      <x:c r="M69" s="75" t="inlineStr">
        <x:is>
          <x:t xml:space="preserve">2026-06-15T09:00:00+09:00</x:t>
        </x:is>
      </x:c>
      <x:c r="N69" s="60" t="inlineStr">
        <x:is>
          <x:t xml:space="preserve">New</x:t>
        </x:is>
      </x:c>
      <x:c r="O69" s="60" t="inlineStr">
        <x:is>
          <x:t xml:space="preserve">枠: Technology Innovation / 学術区分: News &amp; Official Release / 焦点: 真空容器の組立</x:t>
        </x:is>
      </x:c>
    </x:row>
    <x:row r="70" ht="42" customHeight="1">
      <x:c r="A70" s="75" t="inlineStr">
        <x:is>
          <x:t xml:space="preserve">2026-07-26T21:02:36+09:00</x:t>
        </x:is>
      </x:c>
      <x:c r="B70" s="75" t="inlineStr">
        <x:is>
          <x:t xml:space="preserve">2026-06-15T00:00:00Z</x:t>
        </x:is>
      </x:c>
      <x:c r="C70" s="60" t="inlineStr">
        <x:is>
          <x:t xml:space="preserve">EU &amp; Europe</x:t>
        </x:is>
      </x:c>
      <x:c r="D70" s="60" t="inlineStr">
        <x:is>
          <x:t xml:space="preserve">International / France</x:t>
        </x:is>
      </x:c>
      <x:c r="E70" s="60" t="inlineStr">
        <x:is>
          <x:t xml:space="preserve">Fusion Energy</x:t>
        </x:is>
      </x:c>
      <x:c r="F70" s="76" t="n">
        <x:v>2</x:v>
      </x:c>
      <x:c r="G70" s="60" t="inlineStr">
        <x:is>
          <x:t xml:space="preserve">Intergovernmental</x:t>
        </x:is>
      </x:c>
      <x:c r="H70" s="60" t="inlineStr">
        <x:is>
          <x:t xml:space="preserve">ITER News</x:t>
        </x:is>
      </x:c>
      <x:c r="I70" s="60" t="inlineStr">
        <x:is>
          <x:t xml:space="preserve">ロシアのクルチャトフ研究所との協定を締結</x:t>
        </x:is>
      </x:c>
      <x:c r="J70" s="60" t="inlineStr">
        <x:is>
          <x:t xml:space="preserve">ITERがロシアのクルチャトフ研究所との間で科学的交流や共同研究プログラムの実施に関する協定を締結した。</x:t>
        </x:is>
      </x:c>
      <x:c r="K70" s="60" t="inlineStr">
        <x:is>
          <x:t xml:space="preserve">https://www.iter.org/node/20687/iter-signs-agreement-russias-kurchatov-institute</x:t>
        </x:is>
      </x:c>
      <x:c r="L70" s="60" t="inlineStr">
        <x:is>
          <x:t xml:space="preserve">bef2ae98b3b6e9a710e28c9f</x:t>
        </x:is>
      </x:c>
      <x:c r="M70" s="75" t="inlineStr">
        <x:is>
          <x:t xml:space="preserve">2026-06-15T09:00:00+09:00</x:t>
        </x:is>
      </x:c>
      <x:c r="N70" s="60" t="inlineStr">
        <x:is>
          <x:t xml:space="preserve">New</x:t>
        </x:is>
      </x:c>
      <x:c r="O70" s="60" t="inlineStr">
        <x:is>
          <x:t xml:space="preserve">枠: Technology Innovation / 学術区分: News &amp; Official Release / 焦点: ロシアのクルチャトフ研究所との協定</x:t>
        </x:is>
      </x:c>
    </x:row>
    <x:row r="71" ht="42" customHeight="1">
      <x:c r="A71" s="75" t="inlineStr">
        <x:is>
          <x:t xml:space="preserve">2026-07-26T21:02:36+09:00</x:t>
        </x:is>
      </x:c>
      <x:c r="B71" s="75" t="inlineStr">
        <x:is>
          <x:t xml:space="preserve">2026-06-11T17:39:29Z</x:t>
        </x:is>
      </x:c>
      <x:c r="C71" s="60" t="inlineStr">
        <x:is>
          <x:t xml:space="preserve">Global</x:t>
        </x:is>
      </x:c>
      <x:c r="D71" s="60" t="inlineStr">
        <x:is>
          <x:t xml:space="preserve">United States</x:t>
        </x:is>
      </x:c>
      <x:c r="E71" s="60" t="inlineStr">
        <x:is>
          <x:t xml:space="preserve">Artificial Intelligence</x:t>
        </x:is>
      </x:c>
      <x:c r="F71" s="76" t="n">
        <x:v>2</x:v>
      </x:c>
      <x:c r="G71" s="60" t="inlineStr">
        <x:is>
          <x:t xml:space="preserve">Official Company</x:t>
        </x:is>
      </x:c>
      <x:c r="H71" s="60" t="inlineStr">
        <x:is>
          <x:t xml:space="preserve">OpenAI News</x:t>
        </x:is>
      </x:c>
      <x:c r="I71" s="60" t="inlineStr">
        <x:is>
          <x:t xml:space="preserve">特許に関する私たちのアプローチ</x:t>
        </x:is>
      </x:c>
      <x:c r="J71" s="60" t="inlineStr">
        <x:is>
          <x:t xml:space="preserve">OpenAIは、AIのための広範なアクセス、協力、安全性の原則にコミットしています。</x:t>
        </x:is>
      </x:c>
      <x:c r="K71" s="60" t="inlineStr">
        <x:is>
          <x:t xml:space="preserve">https://openai.com/approach-to-patents</x:t>
        </x:is>
      </x:c>
      <x:c r="L71" s="60" t="inlineStr">
        <x:is>
          <x:t xml:space="preserve">15bd5956a07021e966ca1264</x:t>
        </x:is>
      </x:c>
      <x:c r="M71" s="75" t="inlineStr">
        <x:is>
          <x:t xml:space="preserve">2026-06-12T02:39:29+09:00</x:t>
        </x:is>
      </x:c>
      <x:c r="N71" s="60" t="inlineStr">
        <x:is>
          <x:t xml:space="preserve">New</x:t>
        </x:is>
      </x:c>
      <x:c r="O71" s="60" t="inlineStr">
        <x:is>
          <x:t xml:space="preserve">枠: Innovation Policy / 政策分野: Patents &amp; Intellectual Property / 学術区分: News &amp; Official Release / 焦点: AIに関する特許の方針 / Historical backfill from an allowlisted source.</x:t>
        </x:is>
      </x:c>
    </x:row>
    <x:row r="72" ht="42" customHeight="1">
      <x:c r="A72" s="75" t="inlineStr">
        <x:is>
          <x:t xml:space="preserve">2026-07-26T21:02:36+09:00</x:t>
        </x:is>
      </x:c>
      <x:c r="B72" s="75" t="inlineStr">
        <x:is>
          <x:t xml:space="preserve">2026-06-09T19:00:00Z</x:t>
        </x:is>
      </x:c>
      <x:c r="C72" s="60" t="inlineStr">
        <x:is>
          <x:t xml:space="preserve">United States</x:t>
        </x:is>
      </x:c>
      <x:c r="D72" s="60" t="inlineStr">
        <x:is>
          <x:t xml:space="preserve">United States</x:t>
        </x:is>
      </x:c>
      <x:c r="E72" s="60" t="inlineStr">
        <x:is>
          <x:t xml:space="preserve">Fusion Energy</x:t>
        </x:is>
      </x:c>
      <x:c r="F72" s="76" t="n">
        <x:v>5</x:v>
      </x:c>
      <x:c r="G72" s="60" t="inlineStr">
        <x:is>
          <x:t xml:space="preserve">Government</x:t>
        </x:is>
      </x:c>
      <x:c r="H72" s="60" t="inlineStr">
        <x:is>
          <x:t xml:space="preserve">DOE Office of Science News</x:t>
        </x:is>
      </x:c>
      <x:c r="I72" s="60" t="inlineStr">
        <x:is>
          <x:t xml:space="preserve">エネルギー省が核融合科学と技術のロードマップを発表</x:t>
        </x:is>
      </x:c>
      <x:c r="J72" s="60" t="inlineStr">
        <x:is>
          <x:t xml:space="preserve">米国エネルギー省は、核融合エネルギーの開発と商業化を加速するための戦略を発表しました。</x:t>
        </x:is>
      </x:c>
      <x:c r="K72" s="60" t="inlineStr">
        <x:is>
          <x:t xml:space="preserve">https://www.energy.gov/articles/energy-department-releases-finalized-fusion-science-and-technology-roadmap-accelerate</x:t>
        </x:is>
      </x:c>
      <x:c r="L72" s="60" t="inlineStr">
        <x:is>
          <x:t xml:space="preserve">bf24d6f8eb27dabbbe4e196e</x:t>
        </x:is>
      </x:c>
      <x:c r="M72" s="75" t="inlineStr">
        <x:is>
          <x:t xml:space="preserve">2026-06-10T04:00:00+09:00</x:t>
        </x:is>
      </x:c>
      <x:c r="N72" s="60" t="inlineStr">
        <x:is>
          <x:t xml:space="preserve">New</x:t>
        </x:is>
      </x:c>
      <x:c r="O72" s="60" t="inlineStr">
        <x:is>
          <x:t xml:space="preserve">枠: Innovation Policy / 政策分野: National Programs &amp; Strategy | Patents &amp; Intellectual Property / 学術区分: News &amp; Official Release / 焦点: 核融合エネルギーの商業化に向けた戦略</x:t>
        </x:is>
      </x:c>
    </x:row>
    <x:row r="73" ht="42" customHeight="1">
      <x:c r="A73" s="75" t="inlineStr">
        <x:is>
          <x:t xml:space="preserve">2026-07-26T21:02:36+09:00</x:t>
        </x:is>
      </x:c>
      <x:c r="B73" s="75" t="inlineStr">
        <x:is>
          <x:t xml:space="preserve">2026-06-09T12:00:00Z</x:t>
        </x:is>
      </x:c>
      <x:c r="C73" s="60" t="inlineStr">
        <x:is>
          <x:t xml:space="preserve">United States</x:t>
        </x:is>
      </x:c>
      <x:c r="D73" s="60" t="inlineStr">
        <x:is>
          <x:t xml:space="preserve">United States</x:t>
        </x:is>
      </x:c>
      <x:c r="E73" s="60" t="inlineStr">
        <x:is>
          <x:t xml:space="preserve">Artificial Intelligence</x:t>
        </x:is>
      </x:c>
      <x:c r="F73" s="76" t="n">
        <x:v>3</x:v>
      </x:c>
      <x:c r="G73" s="60" t="inlineStr">
        <x:is>
          <x:t xml:space="preserve">Government</x:t>
        </x:is>
      </x:c>
      <x:c r="H73" s="60" t="inlineStr">
        <x:is>
          <x:t xml:space="preserve">NIST News</x:t>
        </x:is>
      </x:c>
      <x:c r="I73" s="60" t="inlineStr">
        <x:is>
          <x:t xml:space="preserve">NISTの数学的証明がAIシステムのセキュリティモデルへの移行を支持</x:t>
        </x:is>
      </x:c>
      <x:c r="J73" s="60" t="inlineStr">
        <x:is>
          <x:t xml:space="preserve">NISTは、AIシステムのための継続的な監視と更新のセキュリティモデルへの移行を支持する数学的証明を発表しました。</x:t>
        </x:is>
      </x:c>
      <x:c r="K73" s="60" t="inlineStr">
        <x:is>
          <x:t xml:space="preserve">https://www.nist.gov/news-events/news/2026/06/nist-mathematical-proof-supports-transition-continuous-monitor-and-update</x:t>
        </x:is>
      </x:c>
      <x:c r="L73" s="60" t="inlineStr">
        <x:is>
          <x:t xml:space="preserve">edf1c2446b6ba41114d4bc6b</x:t>
        </x:is>
      </x:c>
      <x:c r="M73" s="75" t="inlineStr">
        <x:is>
          <x:t xml:space="preserve">2026-06-09T21:00:00+09:00</x:t>
        </x:is>
      </x:c>
      <x:c r="N73" s="60" t="inlineStr">
        <x:is>
          <x:t xml:space="preserve">New</x:t>
        </x:is>
      </x:c>
      <x:c r="O73" s="60" t="inlineStr">
        <x:is>
          <x:t xml:space="preserve">枠: Innovation Policy / 政策分野: Public Procurement &amp; Industrial Policy / 学術区分: News &amp; Official Release / 焦点: AIシステムのセキュリティモデル</x:t>
        </x:is>
      </x:c>
    </x:row>
    <x:row r="74" ht="42" customHeight="1">
      <x:c r="A74" s="75" t="inlineStr">
        <x:is>
          <x:t xml:space="preserve">2026-07-26T21:02:36+09:00</x:t>
        </x:is>
      </x:c>
      <x:c r="B74" s="75" t="inlineStr">
        <x:is>
          <x:t xml:space="preserve">2026-06-05T12:28:26Z</x:t>
        </x:is>
      </x:c>
      <x:c r="C74" s="60" t="inlineStr">
        <x:is>
          <x:t xml:space="preserve">United States</x:t>
        </x:is>
      </x:c>
      <x:c r="D74" s="60" t="inlineStr">
        <x:is>
          <x:t xml:space="preserve">Global</x:t>
        </x:is>
      </x:c>
      <x:c r="E74" s="60" t="inlineStr">
        <x:is>
          <x:t xml:space="preserve"/>
        </x:is>
      </x:c>
      <x:c r="F74" s="76" t="n">
        <x:v>3</x:v>
      </x:c>
      <x:c r="G74" s="60" t="inlineStr">
        <x:is>
          <x:t xml:space="preserve">Intergovernmental</x:t>
        </x:is>
      </x:c>
      <x:c r="H74" s="60" t="inlineStr">
        <x:is>
          <x:t xml:space="preserve">WHO News</x:t>
        </x:is>
      </x:c>
      <x:c r="I74" s="60" t="inlineStr">
        <x:is>
          <x:t xml:space="preserve">アフリカCDCとWHOが共同でエボラ対応計画を発表</x:t>
        </x:is>
      </x:c>
      <x:c r="J74" s="60" t="inlineStr">
        <x:is>
          <x:t xml:space="preserve">アフリカCDCとWHOがエボラウイルスの対応計画を発表し、5億1800万ドルの資金を目指す。</x:t>
        </x:is>
      </x:c>
      <x:c r="K74" s="60" t="inlineStr">
        <x:is>
          <x:t xml:space="preserve">https://www.who.int/news/item/05-06-2026-africa-cdc-and-who-launch-joint-continental-ebola-response-plan</x:t>
        </x:is>
      </x:c>
      <x:c r="L74" s="60" t="inlineStr">
        <x:is>
          <x:t xml:space="preserve">41c465a6eca3591002d781ba</x:t>
        </x:is>
      </x:c>
      <x:c r="M74" s="75" t="inlineStr">
        <x:is>
          <x:t xml:space="preserve">2026-06-05T21:28:26+09:00</x:t>
        </x:is>
      </x:c>
      <x:c r="N74" s="60" t="inlineStr">
        <x:is>
          <x:t xml:space="preserve">New</x:t>
        </x:is>
      </x:c>
      <x:c r="O74" s="60" t="inlineStr">
        <x:is>
          <x:t xml:space="preserve">枠: Innovation Policy / 政策分野: Public Procurement &amp; Industrial Policy / 学術区分: News &amp; Official Release / 焦点: エボラウイルスに対する対応計画</x:t>
        </x:is>
      </x:c>
    </x:row>
    <x:row r="75" ht="42" customHeight="1">
      <x:c r="A75" s="75" t="inlineStr">
        <x:is>
          <x:t xml:space="preserve">2026-07-26T21:02:36+09:00</x:t>
        </x:is>
      </x:c>
      <x:c r="B75" s="75" t="inlineStr">
        <x:is>
          <x:t xml:space="preserve">2026-06-04T12:00:00Z</x:t>
        </x:is>
      </x:c>
      <x:c r="C75" s="60" t="inlineStr">
        <x:is>
          <x:t xml:space="preserve">United States</x:t>
        </x:is>
      </x:c>
      <x:c r="D75" s="60" t="inlineStr">
        <x:is>
          <x:t xml:space="preserve">United States</x:t>
        </x:is>
      </x:c>
      <x:c r="E75" s="60" t="inlineStr">
        <x:is>
          <x:t xml:space="preserve">Artificial Intelligence</x:t>
        </x:is>
      </x:c>
      <x:c r="F75" s="76" t="n">
        <x:v>3</x:v>
      </x:c>
      <x:c r="G75" s="60" t="inlineStr">
        <x:is>
          <x:t xml:space="preserve">Government</x:t>
        </x:is>
      </x:c>
      <x:c r="H75" s="60" t="inlineStr">
        <x:is>
          <x:t xml:space="preserve">NIST News</x:t>
        </x:is>
      </x:c>
      <x:c r="I75" s="60" t="inlineStr">
        <x:is>
          <x:t xml:space="preserve">新しいAIモデルが火災時の避難経路を特定</x:t>
        </x:is>
      </x:c>
      <x:c r="J75" s="60" t="inlineStr">
        <x:is>
          <x:t xml:space="preserve">NISTが火災時に安全な避難経路を特定する新しいAIモデルを作成した。</x:t>
        </x:is>
      </x:c>
      <x:c r="K75" s="60" t="inlineStr">
        <x:is>
          <x:t xml:space="preserve">https://www.nist.gov/news-events/news/2026/06/new-ai-model-shows-how-evacuate-fires-one-safe-step-time</x:t>
        </x:is>
      </x:c>
      <x:c r="L75" s="60" t="inlineStr">
        <x:is>
          <x:t xml:space="preserve">434bb62e0a1e48aca17e1405</x:t>
        </x:is>
      </x:c>
      <x:c r="M75" s="75" t="inlineStr">
        <x:is>
          <x:t xml:space="preserve">2026-06-04T21:00:00+09:00</x:t>
        </x:is>
      </x:c>
      <x:c r="N75" s="60" t="inlineStr">
        <x:is>
          <x:t xml:space="preserve">New</x:t>
        </x:is>
      </x:c>
      <x:c r="O75" s="60" t="inlineStr">
        <x:is>
          <x:t xml:space="preserve">枠: Innovation Policy / 政策分野: Public Procurement &amp; Industrial Policy / 学術区分: News &amp; Official Release / 焦点: 火災時の避難経路を特定するAIモデル</x:t>
        </x:is>
      </x:c>
    </x:row>
    <x:row r="76" ht="42" customHeight="1">
      <x:c r="A76" s="75" t="inlineStr">
        <x:is>
          <x:t xml:space="preserve">2026-07-26T21:02:36+09:00</x:t>
        </x:is>
      </x:c>
      <x:c r="B76" s="75" t="inlineStr">
        <x:is>
          <x:t xml:space="preserve">2026-06-04T12:00:00Z</x:t>
        </x:is>
      </x:c>
      <x:c r="C76" s="60" t="inlineStr">
        <x:is>
          <x:t xml:space="preserve">United States</x:t>
        </x:is>
      </x:c>
      <x:c r="D76" s="60" t="inlineStr">
        <x:is>
          <x:t xml:space="preserve">United States</x:t>
        </x:is>
      </x:c>
      <x:c r="E76" s="60" t="inlineStr">
        <x:is>
          <x:t xml:space="preserve"/>
        </x:is>
      </x:c>
      <x:c r="F76" s="76" t="n">
        <x:v>3</x:v>
      </x:c>
      <x:c r="G76" s="60" t="inlineStr">
        <x:is>
          <x:t xml:space="preserve">Government</x:t>
        </x:is>
      </x:c>
      <x:c r="H76" s="60" t="inlineStr">
        <x:is>
          <x:t xml:space="preserve">NIST News</x:t>
        </x:is>
      </x:c>
      <x:c r="I76" s="60" t="inlineStr">
        <x:is>
          <x:t xml:space="preserve">NISTがレーザーを用いた合金の結合方法を発見</x:t>
        </x:is>
      </x:c>
      <x:c r="J76" s="60" t="inlineStr">
        <x:is>
          <x:t xml:space="preserve">NISTが3Dプリンティング中の金属の原子構造をリアルタイムで研究する方法を改善した。</x:t>
        </x:is>
      </x:c>
      <x:c r="K76" s="60" t="inlineStr">
        <x:is>
          <x:t xml:space="preserve">https://www.nist.gov/news-events/news/2026/06/nist-researchers-discover-new-way-whisk-alloys-together-lasers</x:t>
        </x:is>
      </x:c>
      <x:c r="L76" s="60" t="inlineStr">
        <x:is>
          <x:t xml:space="preserve">a03605c38ac072e4b77247db</x:t>
        </x:is>
      </x:c>
      <x:c r="M76" s="75" t="inlineStr">
        <x:is>
          <x:t xml:space="preserve">2026-06-04T21:00:00+09:00</x:t>
        </x:is>
      </x:c>
      <x:c r="N76" s="60" t="inlineStr">
        <x:is>
          <x:t xml:space="preserve">New</x:t>
        </x:is>
      </x:c>
      <x:c r="O76" s="60" t="inlineStr">
        <x:is>
          <x:t xml:space="preserve">枠: Innovation Policy / 政策分野: Public Procurement &amp; Industrial Policy / 学術区分: News &amp; Official Release / 焦点: レーザーを用いた合金の結合方法</x:t>
        </x:is>
      </x:c>
    </x:row>
    <x:row r="77" ht="42" customHeight="1">
      <x:c r="A77" s="75" t="inlineStr">
        <x:is>
          <x:t xml:space="preserve">2026-07-26T21:02:36+09:00</x:t>
        </x:is>
      </x:c>
      <x:c r="B77" s="75" t="inlineStr">
        <x:is>
          <x:t xml:space="preserve">2026-06-03T03:00:33Z</x:t>
        </x:is>
      </x:c>
      <x:c r="C77" s="60" t="inlineStr">
        <x:is>
          <x:t xml:space="preserve">Global</x:t>
        </x:is>
      </x:c>
      <x:c r="D77" s="60" t="inlineStr">
        <x:is>
          <x:t xml:space="preserve">United States</x:t>
        </x:is>
      </x:c>
      <x:c r="E77" s="60" t="inlineStr">
        <x:is>
          <x:t xml:space="preserve">Semiconductors &amp; Telecom</x:t>
        </x:is>
      </x:c>
      <x:c r="F77" s="76" t="n">
        <x:v>0</x:v>
      </x:c>
      <x:c r="G77" s="60" t="inlineStr">
        <x:is>
          <x:t xml:space="preserve">Official Company</x:t>
        </x:is>
      </x:c>
      <x:c r="H77" s="60" t="inlineStr">
        <x:is>
          <x:t xml:space="preserve">Intel Newsroom</x:t>
        </x:is>
      </x:c>
      <x:c r="I77" s="60" t="inlineStr">
        <x:is>
          <x:t xml:space="preserve">インテル、企業向けEthernet E835ネットワーク制御装置を発表</x:t>
        </x:is>
      </x:c>
      <x:c r="J77" s="60" t="inlineStr">
        <x:is>
          <x:t xml:space="preserve">インテルは、データセンターや企業、AI、テレコムモバイルコアアプリケーション向けに高密度環境の帯域幅とスケーラビリティの要求に応えるEthernet E835ネットワーク制御装置とアダプタを発表した。</x:t>
        </x:is>
      </x:c>
      <x:c r="K77" s="60" t="inlineStr">
        <x:is>
          <x:t xml:space="preserve">https://newsroom.intel.com/pt/data-cente/intel-apresenta-controladores-e-adaptadores-de-rede-ethernet-e835-para-infraestruturas-corporativas-de-borda-e-telecomunicacoes</x:t>
        </x:is>
      </x:c>
      <x:c r="L77" s="60" t="inlineStr">
        <x:is>
          <x:t xml:space="preserve">c78a2a348fa6a57f7ff2f7c3</x:t>
        </x:is>
      </x:c>
      <x:c r="M77" s="75" t="inlineStr">
        <x:is>
          <x:t xml:space="preserve">2026-06-03T12:00:33+09:00</x:t>
        </x:is>
      </x:c>
      <x:c r="N77" s="60" t="inlineStr">
        <x:is>
          <x:t xml:space="preserve">New</x:t>
        </x:is>
      </x:c>
      <x:c r="O77" s="60" t="inlineStr">
        <x:is>
          <x:t xml:space="preserve">枠: Technology Innovation / 学術区分: News &amp; Official Release / 焦点: Ethernetネットワーク用の制御装置とアダプタ / Historical backfill from an allowlisted source.</x:t>
        </x:is>
      </x:c>
    </x:row>
    <x:row r="78" ht="42" customHeight="1">
      <x:c r="A78" s="75" t="inlineStr">
        <x:is>
          <x:t xml:space="preserve">2026-07-26T21:02:36+09:00</x:t>
        </x:is>
      </x:c>
      <x:c r="B78" s="75" t="inlineStr">
        <x:is>
          <x:t xml:space="preserve">2026-05-19T00:00:00Z</x:t>
        </x:is>
      </x:c>
      <x:c r="C78" s="60" t="inlineStr">
        <x:is>
          <x:t xml:space="preserve">Global</x:t>
        </x:is>
      </x:c>
      <x:c r="D78" s="60" t="inlineStr">
        <x:is>
          <x:t xml:space="preserve">Global</x:t>
        </x:is>
      </x:c>
      <x:c r="E78" s="60" t="inlineStr">
        <x:is>
          <x:t xml:space="preserve">Artificial Intelligence | Healthcare | Biotechnology</x:t>
        </x:is>
      </x:c>
      <x:c r="F78" s="76" t="n">
        <x:v>0</x:v>
      </x:c>
      <x:c r="G78" s="60" t="inlineStr">
        <x:is>
          <x:t xml:space="preserve">Journal Article</x:t>
        </x:is>
      </x:c>
      <x:c r="H78" s="60" t="inlineStr">
        <x:is>
          <x:t xml:space="preserve">Nature</x:t>
        </x:is>
      </x:c>
      <x:c r="I78" s="60" t="inlineStr">
        <x:is>
          <x:t xml:space="preserve">Co-Scientistによる科学的発見の加速</x:t>
        </x:is>
      </x:c>
      <x:c r="J78" s="60" t="inlineStr">
        <x:is>
          <x:t xml:space="preserve">Co-Scientistは、科学者の研究目的に基づいて新しい研究仮説を生成するAIシステムで、特にバイオメディカル分野での応用が示されています。</x:t>
        </x:is>
      </x:c>
      <x:c r="K78" s="60" t="inlineStr">
        <x:is>
          <x:t xml:space="preserve">https://doi.org/10.1038/s41586-026-10644-y</x:t>
        </x:is>
      </x:c>
      <x:c r="L78" s="60" t="inlineStr">
        <x:is>
          <x:t xml:space="preserve">21dce88bdeef80bd3133e790</x:t>
        </x:is>
      </x:c>
      <x:c r="M78" s="75" t="inlineStr">
        <x:is>
          <x:t xml:space="preserve">2026-05-19T09:00:00+09:00</x:t>
        </x:is>
      </x:c>
      <x:c r="N78" s="60" t="inlineStr">
        <x:is>
          <x:t xml:space="preserve">New</x:t>
        </x:is>
      </x:c>
      <x:c r="O78" s="60" t="inlineStr">
        <x:is>
          <x:t xml:space="preserve">枠: Technology Innovation / 学術区分: Journal Article / 査読表示: Journal record — confirm peer review on publisher page / 掲載誌・学会: Nature / 焦点: AIによる科学的発見の加速 / OpenAlex record; work type=article; citations=56</x:t>
        </x:is>
      </x:c>
    </x:row>
    <x:row r="79" ht="42" customHeight="1">
      <x:c r="A79" s="75" t="inlineStr">
        <x:is>
          <x:t xml:space="preserve">2026-07-26T21:02:36+09:00</x:t>
        </x:is>
      </x:c>
      <x:c r="B79" s="75" t="inlineStr">
        <x:is>
          <x:t xml:space="preserve">2026-05-18T12:00:00Z</x:t>
        </x:is>
      </x:c>
      <x:c r="C79" s="60" t="inlineStr">
        <x:is>
          <x:t xml:space="preserve">United States</x:t>
        </x:is>
      </x:c>
      <x:c r="D79" s="60" t="inlineStr">
        <x:is>
          <x:t xml:space="preserve">United States</x:t>
        </x:is>
      </x:c>
      <x:c r="E79" s="60" t="inlineStr">
        <x:is>
          <x:t xml:space="preserve">Space</x:t>
        </x:is>
      </x:c>
      <x:c r="F79" s="76" t="n">
        <x:v>0</x:v>
      </x:c>
      <x:c r="G79" s="60" t="inlineStr">
        <x:is>
          <x:t xml:space="preserve">Government</x:t>
        </x:is>
      </x:c>
      <x:c r="H79" s="60" t="inlineStr">
        <x:is>
          <x:t xml:space="preserve">NIST News</x:t>
        </x:is>
      </x:c>
      <x:c r="I79" s="60" t="inlineStr">
        <x:is>
          <x:t xml:space="preserve">月面探査に向けた超安定レーザー技術の可能性</x:t>
        </x:is>
      </x:c>
      <x:c r="J79" s="60" t="inlineStr">
        <x:is>
          <x:t xml:space="preserve">月面の永久影にあるクレーターは、これまでにないほど安定した光学レーザーを構築する理想的な場所となる可能性がある。</x:t>
        </x:is>
      </x:c>
      <x:c r="K79" s="60" t="inlineStr">
        <x:is>
          <x:t xml:space="preserve">https://www.nist.gov/news-events/news/2026/05/shooting-moon-ultrastable-lasers-dark-craters-could-enable-lunar-navigation</x:t>
        </x:is>
      </x:c>
      <x:c r="L79" s="60" t="inlineStr">
        <x:is>
          <x:t xml:space="preserve">99f664278415a42538163a5c</x:t>
        </x:is>
      </x:c>
      <x:c r="M79" s="75" t="inlineStr">
        <x:is>
          <x:t xml:space="preserve">2026-05-18T21:00:00+09:00</x:t>
        </x:is>
      </x:c>
      <x:c r="N79" s="60" t="inlineStr">
        <x:is>
          <x:t xml:space="preserve">New</x:t>
        </x:is>
      </x:c>
      <x:c r="O79" s="60" t="inlineStr">
        <x:is>
          <x:t xml:space="preserve">枠: Technology Innovation / 学術区分: News &amp; Official Release / 焦点: 超安定レーザー技術</x:t>
        </x:is>
      </x:c>
    </x:row>
    <x:row r="80" ht="42" customHeight="1">
      <x:c r="A80" s="75" t="inlineStr">
        <x:is>
          <x:t xml:space="preserve">2026-07-26T22:54:37+09:00</x:t>
        </x:is>
      </x:c>
      <x:c r="B80" s="75" t="inlineStr">
        <x:is>
          <x:t xml:space="preserve">2026-05-14T00:00:00Z</x:t>
        </x:is>
      </x:c>
      <x:c r="C80" s="60" t="inlineStr">
        <x:is>
          <x:t xml:space="preserve">United States</x:t>
        </x:is>
      </x:c>
      <x:c r="D80" s="60" t="inlineStr">
        <x:is>
          <x:t xml:space="preserve">United States</x:t>
        </x:is>
      </x:c>
      <x:c r="E80" s="60" t="inlineStr">
        <x:is>
          <x:t xml:space="preserve"/>
        </x:is>
      </x:c>
      <x:c r="F80" s="76" t="n">
        <x:v>5</x:v>
      </x:c>
      <x:c r="G80" s="60" t="inlineStr">
        <x:is>
          <x:t xml:space="preserve">Government</x:t>
        </x:is>
      </x:c>
      <x:c r="H80" s="60" t="inlineStr">
        <x:is>
          <x:t xml:space="preserve">NSF Policy Benchmarks</x:t>
        </x:is>
      </x:c>
      <x:c r="I80" s="60" t="inlineStr">
        <x:is>
          <x:t xml:space="preserve">NSF、15億ドルのX-Labs構想を発表</x:t>
        </x:is>
      </x:c>
      <x:c r="J80" s="60" t="inlineStr">
        <x:is>
          <x:t xml:space="preserve">米国NSFは15億ドル規模の「NSF X-Labs」を発表した。従来型機関の外で独立研究組織を立ち上げ・拡大し、世代を画する科学的ブレークスルーを長期・大規模に追求する。</x:t>
        </x:is>
      </x:c>
      <x:c r="K80" s="60" t="inlineStr">
        <x:is>
          <x:t xml:space="preserve">https://www.nsf.gov/news/nsf-announces-15b-nsf-x-labs-initiative-pursue-generational</x:t>
        </x:is>
      </x:c>
      <x:c r="L80" s="60" t="inlineStr">
        <x:is>
          <x:t xml:space="preserve">770e8a385a4790aa084a1d15</x:t>
        </x:is>
      </x:c>
      <x:c r="M80" s="75" t="inlineStr">
        <x:is>
          <x:t xml:space="preserve">2026-05-14T09:00:00+09:00</x:t>
        </x:is>
      </x:c>
      <x:c r="N80" s="60" t="inlineStr">
        <x:is>
          <x:t xml:space="preserve">New</x:t>
        </x:is>
      </x:c>
      <x:c r="O80" s="60" t="inlineStr">
        <x:is>
          <x:t xml:space="preserve">枠: Innovation Policy / 政策分野: R&amp;D Funding &amp; Tax Incentives | National Programs &amp; Strategy | Research System &amp; Talent / 学術区分: News &amp; Official Release / 焦点: 独立研究組織を通じた大型・長期の基礎研究支援 / Pinned official policy benchmark.</x:t>
        </x:is>
      </x:c>
    </x:row>
    <x:row r="81" ht="42" customHeight="1">
      <x:c r="A81" s="75" t="inlineStr">
        <x:is>
          <x:t xml:space="preserve">2026-07-26T21:02:36+09:00</x:t>
        </x:is>
      </x:c>
      <x:c r="B81" s="75" t="inlineStr">
        <x:is>
          <x:t xml:space="preserve">2026-04-15T12:00:00Z</x:t>
        </x:is>
      </x:c>
      <x:c r="C81" s="60" t="inlineStr">
        <x:is>
          <x:t xml:space="preserve">United States</x:t>
        </x:is>
      </x:c>
      <x:c r="D81" s="60" t="inlineStr">
        <x:is>
          <x:t xml:space="preserve">United States</x:t>
        </x:is>
      </x:c>
      <x:c r="E81" s="60" t="inlineStr">
        <x:is>
          <x:t xml:space="preserve">Semiconductors &amp; Telecom</x:t>
        </x:is>
      </x:c>
      <x:c r="F81" s="76" t="n">
        <x:v>0</x:v>
      </x:c>
      <x:c r="G81" s="60" t="inlineStr">
        <x:is>
          <x:t xml:space="preserve">Government</x:t>
        </x:is>
      </x:c>
      <x:c r="H81" s="60" t="inlineStr">
        <x:is>
          <x:t xml:space="preserve">NIST News</x:t>
        </x:is>
      </x:c>
      <x:c r="I81" s="60" t="inlineStr">
        <x:is>
          <x:t xml:space="preserve">好きな色を選べる：NIST科学者が小型回路で「任意の波長」レーザーを作成</x:t>
        </x:is>
      </x:c>
      <x:c r="J81" s="60" t="inlineStr">
        <x:is>
          <x:t xml:space="preserve">NISTの科学者たちが、シリコンウェハ上に特殊材料の複雑なパターンを堆積することで、光のための集積回路を作成する方法を開発した。</x:t>
        </x:is>
      </x:c>
      <x:c r="K81" s="60" t="inlineStr">
        <x:is>
          <x:t xml:space="preserve">https://www.nist.gov/news-events/news/2026/04/any-color-you-nist-scientists-create-any-wavelength-lasers-tiny-circuits</x:t>
        </x:is>
      </x:c>
      <x:c r="L81" s="60" t="inlineStr">
        <x:is>
          <x:t xml:space="preserve">4fba34d8f0d0bf2d1a725c46</x:t>
        </x:is>
      </x:c>
      <x:c r="M81" s="75" t="inlineStr">
        <x:is>
          <x:t xml:space="preserve">2026-04-15T21:00:00+09:00</x:t>
        </x:is>
      </x:c>
      <x:c r="N81" s="60" t="inlineStr">
        <x:is>
          <x:t xml:space="preserve">New</x:t>
        </x:is>
      </x:c>
      <x:c r="O81" s="60" t="inlineStr">
        <x:is>
          <x:t xml:space="preserve">枠: Technology Innovation / 学術区分: News &amp; Official Release / 焦点: 集積回路の光学技術</x:t>
        </x:is>
      </x:c>
    </x:row>
    <x:row r="82" ht="42" customHeight="1">
      <x:c r="A82" s="75" t="inlineStr">
        <x:is>
          <x:t xml:space="preserve">2026-07-26T21:02:36+09:00</x:t>
        </x:is>
      </x:c>
      <x:c r="B82" s="75" t="inlineStr">
        <x:is>
          <x:t xml:space="preserve">2026-04-10T00:00:00Z</x:t>
        </x:is>
      </x:c>
      <x:c r="C82" s="60" t="inlineStr">
        <x:is>
          <x:t xml:space="preserve">Global</x:t>
        </x:is>
      </x:c>
      <x:c r="D82" s="60" t="inlineStr">
        <x:is>
          <x:t xml:space="preserve">United States</x:t>
        </x:is>
      </x:c>
      <x:c r="E82" s="60" t="inlineStr">
        <x:is>
          <x:t xml:space="preserve">Artificial Intelligence | Healthcare</x:t>
        </x:is>
      </x:c>
      <x:c r="F82" s="76" t="n">
        <x:v>1</x:v>
      </x:c>
      <x:c r="G82" s="60" t="inlineStr">
        <x:is>
          <x:t xml:space="preserve">Official Company</x:t>
        </x:is>
      </x:c>
      <x:c r="H82" s="60" t="inlineStr">
        <x:is>
          <x:t xml:space="preserve">OpenAI News</x:t>
        </x:is>
      </x:c>
      <x:c r="I82" s="60" t="inlineStr">
        <x:is>
          <x:t xml:space="preserve">医療におけるAIの活用</x:t>
        </x:is>
      </x:c>
      <x:c r="J82" s="60" t="inlineStr">
        <x:is>
          <x:t xml:space="preserve">医療現場でのChatGPTの活用により、診断や文書作成、患者ケアを支援する方法が探求されている。</x:t>
        </x:is>
      </x:c>
      <x:c r="K82" s="60" t="inlineStr">
        <x:is>
          <x:t xml:space="preserve">https://openai.com/academy/healthcare</x:t>
        </x:is>
      </x:c>
      <x:c r="L82" s="60" t="inlineStr">
        <x:is>
          <x:t xml:space="preserve">66439e0ac0aedcb0a787347c</x:t>
        </x:is>
      </x:c>
      <x:c r="M82" s="75" t="inlineStr">
        <x:is>
          <x:t xml:space="preserve">2026-04-10T09:00:00+09:00</x:t>
        </x:is>
      </x:c>
      <x:c r="N82" s="60" t="inlineStr">
        <x:is>
          <x:t xml:space="preserve">New</x:t>
        </x:is>
      </x:c>
      <x:c r="O82" s="60" t="inlineStr">
        <x:is>
          <x:t xml:space="preserve">枠: Technology Innovation / 学術区分: News &amp; Official Release / 焦点: AIを用いた診断支援ツール / Historical backfill from an allowlisted source.</x:t>
        </x:is>
      </x:c>
    </x:row>
    <x:row r="83" ht="42" customHeight="1">
      <x:c r="A83" s="75" t="inlineStr">
        <x:is>
          <x:t xml:space="preserve">2026-07-26T22:54:37+09:00</x:t>
        </x:is>
      </x:c>
      <x:c r="B83" s="75" t="inlineStr">
        <x:is>
          <x:t xml:space="preserve">2026-03-24T00:00:00Z</x:t>
        </x:is>
      </x:c>
      <x:c r="C83" s="60" t="inlineStr">
        <x:is>
          <x:t xml:space="preserve">Asia</x:t>
        </x:is>
      </x:c>
      <x:c r="D83" s="60" t="inlineStr">
        <x:is>
          <x:t xml:space="preserve">China</x:t>
        </x:is>
      </x:c>
      <x:c r="E83" s="60" t="inlineStr">
        <x:is>
          <x:t xml:space="preserve"/>
        </x:is>
      </x:c>
      <x:c r="F83" s="76" t="n">
        <x:v>5</x:v>
      </x:c>
      <x:c r="G83" s="60" t="inlineStr">
        <x:is>
          <x:t xml:space="preserve">Government</x:t>
        </x:is>
      </x:c>
      <x:c r="H83" s="60" t="inlineStr">
        <x:is>
          <x:t xml:space="preserve">China Innovation Policy Benchmarks</x:t>
        </x:is>
      </x:c>
      <x:c r="I83" s="60" t="inlineStr">
        <x:is>
          <x:t xml:space="preserve">中国、大学・研究機関の特許130万件を審査し事業化候補68万件を企業へ接続</x:t>
        </x:is>
      </x:c>
      <x:c r="J83" s="60" t="inlineStr">
        <x:is>
          <x:t xml:space="preserve">中国は大学・研究機関が保有する130万件超の特許を全国審査し、事業化可能性の高い発明特許68万件を特定して46万社へ接続した。国務院の特許転化・活用行動計画に基づき、評価、マッチング、研究者報酬、技術移転人材を整備する。</x:t>
        </x:is>
      </x:c>
      <x:c r="K83" s="60" t="inlineStr">
        <x:is>
          <x:t xml:space="preserve">https://english.www.gov.cn/news/202603/24/content_WS69c1edb6c6d00ca5f9a0a13c.html</x:t>
        </x:is>
      </x:c>
      <x:c r="L83" s="60" t="inlineStr">
        <x:is>
          <x:t xml:space="preserve">56bcce956cacb3b5f73edbdd</x:t>
        </x:is>
      </x:c>
      <x:c r="M83" s="75" t="inlineStr">
        <x:is>
          <x:t xml:space="preserve">2026-03-24T09:00:00+09:00</x:t>
        </x:is>
      </x:c>
      <x:c r="N83" s="60" t="inlineStr">
        <x:is>
          <x:t xml:space="preserve">New</x:t>
        </x:is>
      </x:c>
      <x:c r="O83" s="60" t="inlineStr">
        <x:is>
          <x:t xml:space="preserve">枠: Innovation Policy / 政策分野: Patents &amp; Intellectual Property | Public Procurement &amp; Industrial Policy / 学術区分: News &amp; Official Release / 焦点: 大学・研究機関の特許評価、企業マッチング、技術移転 / Pinned official policy benchmark.</x:t>
        </x:is>
      </x:c>
    </x:row>
    <x:row r="84" ht="42" customHeight="1">
      <x:c r="A84" s="75" t="inlineStr">
        <x:is>
          <x:t xml:space="preserve">2026-07-26T21:02:36+09:00</x:t>
        </x:is>
      </x:c>
      <x:c r="B84" s="75" t="inlineStr">
        <x:is>
          <x:t xml:space="preserve">2026-03-19T12:00:00Z</x:t>
        </x:is>
      </x:c>
      <x:c r="C84" s="60" t="inlineStr">
        <x:is>
          <x:t xml:space="preserve">United States</x:t>
        </x:is>
      </x:c>
      <x:c r="D84" s="60" t="inlineStr">
        <x:is>
          <x:t xml:space="preserve">United States</x:t>
        </x:is>
      </x:c>
      <x:c r="E84" s="60" t="inlineStr">
        <x:is>
          <x:t xml:space="preserve"/>
        </x:is>
      </x:c>
      <x:c r="F84" s="76" t="n">
        <x:v>4</x:v>
      </x:c>
      <x:c r="G84" s="60" t="inlineStr">
        <x:is>
          <x:t xml:space="preserve">Government</x:t>
        </x:is>
      </x:c>
      <x:c r="H84" s="60" t="inlineStr">
        <x:is>
          <x:t xml:space="preserve">NIST News</x:t>
        </x:is>
      </x:c>
      <x:c r="I84" s="60" t="inlineStr">
        <x:is>
          <x:t xml:space="preserve">NISTが議会にFY 2025の国家建設安全チーム調査の進捗を報告</x:t>
        </x:is>
      </x:c>
      <x:c r="J84" s="60" t="inlineStr">
        <x:is>
          <x:t xml:space="preserve">NISTは、Champlain Towers Southの調査に関する作業の概要を含む報告書を議会に提出しました。</x:t>
        </x:is>
      </x:c>
      <x:c r="K84" s="60" t="inlineStr">
        <x:is>
          <x:t xml:space="preserve">https://www.nist.gov/news-events/news/2026/03/nist-submits-annual-report-congress-summarizing-fy-2025-progress-national</x:t>
        </x:is>
      </x:c>
      <x:c r="L84" s="60" t="inlineStr">
        <x:is>
          <x:t xml:space="preserve">e322af74bfc6d82e04e94180</x:t>
        </x:is>
      </x:c>
      <x:c r="M84" s="75" t="inlineStr">
        <x:is>
          <x:t xml:space="preserve">2026-03-19T21:00:00+09:00</x:t>
        </x:is>
      </x:c>
      <x:c r="N84" s="60" t="inlineStr">
        <x:is>
          <x:t xml:space="preserve">New</x:t>
        </x:is>
      </x:c>
      <x:c r="O84" s="60" t="inlineStr">
        <x:is>
          <x:t xml:space="preserve">枠: Innovation Policy / 政策分野: Public Procurement &amp; Industrial Policy / 学術区分: News &amp; Official Release / 焦点: 国家建設安全チームの調査進捗</x:t>
        </x:is>
      </x:c>
    </x:row>
    <x:row r="85" ht="42" customHeight="1">
      <x:c r="A85" s="75" t="inlineStr">
        <x:is>
          <x:t xml:space="preserve">2026-07-26T21:02:36+09:00</x:t>
        </x:is>
      </x:c>
      <x:c r="B85" s="75" t="inlineStr">
        <x:is>
          <x:t xml:space="preserve">2026-03-04T14:57:24Z</x:t>
        </x:is>
      </x:c>
      <x:c r="C85" s="60" t="inlineStr">
        <x:is>
          <x:t xml:space="preserve">EU &amp; Europe</x:t>
        </x:is>
      </x:c>
      <x:c r="D85" s="60" t="inlineStr">
        <x:is>
          <x:t xml:space="preserve">China / Germany</x:t>
        </x:is>
      </x:c>
      <x:c r="E85" s="60" t="inlineStr">
        <x:is>
          <x:t xml:space="preserve">Biotechnology</x:t>
        </x:is>
      </x:c>
      <x:c r="F85" s="76" t="n">
        <x:v>3</x:v>
      </x:c>
      <x:c r="G85" s="60" t="inlineStr">
        <x:is>
          <x:t xml:space="preserve">Policy Institute</x:t>
        </x:is>
      </x:c>
      <x:c r="H85" s="60" t="inlineStr">
        <x:is>
          <x:t xml:space="preserve">MERICS</x:t>
        </x:is>
      </x:c>
      <x:c r="I85" s="60" t="inlineStr">
        <x:is>
          <x:t xml:space="preserve">アストラゼネカ、中国を製薬イノベーションのハブに</x:t>
        </x:is>
      </x:c>
      <x:c r="J85" s="60" t="inlineStr">
        <x:is>
          <x:t xml:space="preserve">アストラゼネカが2030年までに中国の研究開発に150億ドルを投資する計画を発表。</x:t>
        </x:is>
      </x:c>
      <x:c r="K85" s="60" t="inlineStr">
        <x:is>
          <x:t xml:space="preserve">https://merics.org/en/comment/astrazenecas-rd-bet-makes-china-pharma-innovation-hub</x:t>
        </x:is>
      </x:c>
      <x:c r="L85" s="60" t="inlineStr">
        <x:is>
          <x:t xml:space="preserve">1c2d02bf178504dd287a6106</x:t>
        </x:is>
      </x:c>
      <x:c r="M85" s="75" t="inlineStr">
        <x:is>
          <x:t xml:space="preserve">2026-03-04T23:57:24+09:00</x:t>
        </x:is>
      </x:c>
      <x:c r="N85" s="60" t="inlineStr">
        <x:is>
          <x:t xml:space="preserve">New</x:t>
        </x:is>
      </x:c>
      <x:c r="O85" s="60" t="inlineStr">
        <x:is>
          <x:t xml:space="preserve">枠: Innovation Policy / 政策分野: Regulation &amp; Governance / 学術区分: News &amp; Official Release / 焦点: バイオテクノロジー産業の規制 / Historical backfill from an allowlisted source.</x:t>
        </x:is>
      </x:c>
    </x:row>
    <x:row r="86" ht="42" customHeight="1">
      <x:c r="A86" s="75" t="inlineStr">
        <x:is>
          <x:t xml:space="preserve">2026-07-26T22:54:37+09:00</x:t>
        </x:is>
      </x:c>
      <x:c r="B86" s="75" t="inlineStr">
        <x:is>
          <x:t xml:space="preserve">2026-02-17T00:00:00Z</x:t>
        </x:is>
      </x:c>
      <x:c r="C86" s="60" t="inlineStr">
        <x:is>
          <x:t xml:space="preserve">Global</x:t>
        </x:is>
      </x:c>
      <x:c r="D86" s="60" t="inlineStr">
        <x:is>
          <x:t xml:space="preserve">Global</x:t>
        </x:is>
      </x:c>
      <x:c r="E86" s="60" t="inlineStr">
        <x:is>
          <x:t xml:space="preserve"/>
        </x:is>
      </x:c>
      <x:c r="F86" s="76" t="n">
        <x:v>4</x:v>
      </x:c>
      <x:c r="G86" s="60" t="inlineStr">
        <x:is>
          <x:t xml:space="preserve">Intergovernmental</x:t>
        </x:is>
      </x:c>
      <x:c r="H86" s="60" t="inlineStr">
        <x:is>
          <x:t xml:space="preserve">WIPO Policy Benchmarks</x:t>
        </x:is>
      </x:c>
      <x:c r="I86" s="60" t="inlineStr">
        <x:is>
          <x:t xml:space="preserve">WIPO「世界知的財産報告書2026」、技術普及を左右する4要因を分析</x:t>
        </x:is>
      </x:c>
      <x:c r="J86" s="60" t="inlineStr">
        <x:is>
          <x:t xml:space="preserve">WIPOは「世界知的財産報告書2026」で、技術の性質、情報流通、受容能力、政策・知財制度の4要因が技術普及の速度と範囲を左右すると分析した。特許と科学論文のデータから各国の普及格差を示す。</x:t>
        </x:is>
      </x:c>
      <x:c r="K86" s="60" t="inlineStr">
        <x:is>
          <x:t xml:space="preserve">https://www.wipo.int/web-publications/world-intellectual-property-report-2026/en/index.html</x:t>
        </x:is>
      </x:c>
      <x:c r="L86" s="60" t="inlineStr">
        <x:is>
          <x:t xml:space="preserve">424d3f7436d98c3c4ec35b6d</x:t>
        </x:is>
      </x:c>
      <x:c r="M86" s="75" t="inlineStr">
        <x:is>
          <x:t xml:space="preserve">2026-02-17T09:00:00+09:00</x:t>
        </x:is>
      </x:c>
      <x:c r="N86" s="60" t="inlineStr">
        <x:is>
          <x:t xml:space="preserve">New</x:t>
        </x:is>
      </x:c>
      <x:c r="O86" s="60" t="inlineStr">
        <x:is>
          <x:t xml:space="preserve">枠: Innovation Policy / 政策分野: Patents &amp; Intellectual Property | National Programs &amp; Strategy / 学術区分: News &amp; Official Release / 焦点: 知的財産制度と技術普及の関係 / Pinned official policy benchmark.</x:t>
        </x:is>
      </x:c>
    </x:row>
    <x:row r="87" ht="42" customHeight="1">
      <x:c r="A87" s="75" t="inlineStr">
        <x:is>
          <x:t xml:space="preserve">2026-07-26T22:54:37+09:00</x:t>
        </x:is>
      </x:c>
      <x:c r="B87" s="75" t="inlineStr">
        <x:is>
          <x:t xml:space="preserve">2026-02-12T00:00:00Z</x:t>
        </x:is>
      </x:c>
      <x:c r="C87" s="60" t="inlineStr">
        <x:is>
          <x:t xml:space="preserve">Asia</x:t>
        </x:is>
      </x:c>
      <x:c r="D87" s="60" t="inlineStr">
        <x:is>
          <x:t xml:space="preserve">South Korea</x:t>
        </x:is>
      </x:c>
      <x:c r="E87" s="60" t="inlineStr">
        <x:is>
          <x:t xml:space="preserve"/>
        </x:is>
      </x:c>
      <x:c r="F87" s="76" t="n">
        <x:v>5</x:v>
      </x:c>
      <x:c r="G87" s="60" t="inlineStr">
        <x:is>
          <x:t xml:space="preserve">Government</x:t>
        </x:is>
      </x:c>
      <x:c r="H87" s="60" t="inlineStr">
        <x:is>
          <x:t xml:space="preserve">Korea Innovation Policy Benchmarks</x:t>
        </x:is>
      </x:c>
      <x:c r="I87" s="60" t="inlineStr">
        <x:is>
          <x:t xml:space="preserve">韓国、大型国家R&amp;Dの事前評価を18年ぶりに全面改革</x:t>
        </x:is>
      </x:c>
      <x:c r="J87" s="60" t="inlineStr">
        <x:is>
          <x:t xml:space="preserve">韓国は大型国家R&amp;Dの投資審査制度を18年ぶりに全面改革する。事前評価の対象基準を500億ウォンから1,000億ウォンへ引き上げ、研究型には計画審査、研究インフラ型には企画から完成までの全ライフサイクル審査を導入する。</x:t>
        </x:is>
      </x:c>
      <x:c r="K87" s="60" t="inlineStr">
        <x:is>
          <x:t xml:space="preserve">https://www.msit.go.kr/eng/bbs/view.do?bbsSeqNo=42&amp;mId=4&amp;nttSeqNo=1227&amp;sCode=eng</x:t>
        </x:is>
      </x:c>
      <x:c r="L87" s="60" t="inlineStr">
        <x:is>
          <x:t xml:space="preserve">d1549e57df1e4381c7594af7</x:t>
        </x:is>
      </x:c>
      <x:c r="M87" s="75" t="inlineStr">
        <x:is>
          <x:t xml:space="preserve">2026-02-12T09:00:00+09:00</x:t>
        </x:is>
      </x:c>
      <x:c r="N87" s="60" t="inlineStr">
        <x:is>
          <x:t xml:space="preserve">New</x:t>
        </x:is>
      </x:c>
      <x:c r="O87" s="60" t="inlineStr">
        <x:is>
          <x:t xml:space="preserve">枠: Innovation Policy / 政策分野: R&amp;D Funding &amp; Tax Incentives | National Programs &amp; Strategy | Regulation &amp; Governance / 学術区分: News &amp; Official Release / 焦点: 大型国家R&amp;Dプロジェクトの投資審査と全ライフサイクル管理 / Pinned official policy benchmark.</x:t>
        </x:is>
      </x:c>
    </x:row>
    <x:row r="88" ht="42" customHeight="1">
      <x:c r="A88" s="75" t="inlineStr">
        <x:is>
          <x:t xml:space="preserve">2026-07-26T21:02:36+09:00</x:t>
        </x:is>
      </x:c>
      <x:c r="B88" s="75" t="inlineStr">
        <x:is>
          <x:t xml:space="preserve">2026-02-10T12:00:00Z</x:t>
        </x:is>
      </x:c>
      <x:c r="C88" s="60" t="inlineStr">
        <x:is>
          <x:t xml:space="preserve">United States</x:t>
        </x:is>
      </x:c>
      <x:c r="D88" s="60" t="inlineStr">
        <x:is>
          <x:t xml:space="preserve">United States</x:t>
        </x:is>
      </x:c>
      <x:c r="E88" s="60" t="inlineStr">
        <x:is>
          <x:t xml:space="preserve">Biotechnology | Artificial Intelligence | Semiconductors &amp; Telecom | Quantum</x:t>
        </x:is>
      </x:c>
      <x:c r="F88" s="76" t="n">
        <x:v>3</x:v>
      </x:c>
      <x:c r="G88" s="60" t="inlineStr">
        <x:is>
          <x:t xml:space="preserve">Government</x:t>
        </x:is>
      </x:c>
      <x:c r="H88" s="60" t="inlineStr">
        <x:is>
          <x:t xml:space="preserve">NIST News</x:t>
        </x:is>
      </x:c>
      <x:c r="I88" s="60" t="inlineStr">
        <x:is>
          <x:t xml:space="preserve">NISTがAI、バイオテクノロジー、半導体、量子技術を進展させる小規模企業に300万ドル以上を配分</x:t>
        </x:is>
      </x:c>
      <x:c r="J88" s="60" t="inlineStr">
        <x:is>
          <x:t xml:space="preserve">NISTはSBIRプログラムの下で、7つの州にある8つの小規模企業に資金を配分することを発表した。</x:t>
        </x:is>
      </x:c>
      <x:c r="K88" s="60" t="inlineStr">
        <x:is>
          <x:t xml:space="preserve">https://www.nist.gov/news-events/news/2026/02/nist-allocates-over-3-million-small-businesses-advancing-ai-biotechnology</x:t>
        </x:is>
      </x:c>
      <x:c r="L88" s="60" t="inlineStr">
        <x:is>
          <x:t xml:space="preserve">2700025a185e7f6eb2253ff3</x:t>
        </x:is>
      </x:c>
      <x:c r="M88" s="75" t="inlineStr">
        <x:is>
          <x:t xml:space="preserve">2026-02-10T21:00:00+09:00</x:t>
        </x:is>
      </x:c>
      <x:c r="N88" s="60" t="inlineStr">
        <x:is>
          <x:t xml:space="preserve">New</x:t>
        </x:is>
      </x:c>
      <x:c r="O88" s="60" t="inlineStr">
        <x:is>
          <x:t xml:space="preserve">枠: Innovation Policy / 政策分野: Public Procurement &amp; Industrial Policy / 学術区分: News &amp; Official Release / 焦点: AI、バイオテクノロジー、半導体、量子技術に関する資金配分</x:t>
        </x:is>
      </x:c>
    </x:row>
    <x:row r="89" ht="42" customHeight="1">
      <x:c r="A89" s="75" t="inlineStr">
        <x:is>
          <x:t xml:space="preserve">2026-07-26T22:54:37+09:00</x:t>
        </x:is>
      </x:c>
      <x:c r="B89" s="75" t="inlineStr">
        <x:is>
          <x:t xml:space="preserve">2025-11-24T00:00:00Z</x:t>
        </x:is>
      </x:c>
      <x:c r="C89" s="60" t="inlineStr">
        <x:is>
          <x:t xml:space="preserve">United States</x:t>
        </x:is>
      </x:c>
      <x:c r="D89" s="60" t="inlineStr">
        <x:is>
          <x:t xml:space="preserve">United States</x:t>
        </x:is>
      </x:c>
      <x:c r="E89" s="60" t="inlineStr">
        <x:is>
          <x:t xml:space="preserve">Artificial Intelligence</x:t>
        </x:is>
      </x:c>
      <x:c r="F89" s="76" t="n">
        <x:v>5</x:v>
      </x:c>
      <x:c r="G89" s="60" t="inlineStr">
        <x:is>
          <x:t xml:space="preserve">Government</x:t>
        </x:is>
      </x:c>
      <x:c r="H89" s="60" t="inlineStr">
        <x:is>
          <x:t xml:space="preserve">White House Science Policy Benchmarks</x:t>
        </x:is>
      </x:c>
      <x:c r="I89" s="60" t="inlineStr">
        <x:is>
          <x:t xml:space="preserve">米国、AIで科学発見を加速する「Genesis Mission」を開始</x:t>
        </x:is>
      </x:c>
      <x:c r="J89" s="60" t="inlineStr">
        <x:is>
          <x:t xml:space="preserve">米国は大統領令で「Genesis Mission」を開始した。連邦の科学データ、スーパーコンピューター、AI、研究施設を統合し、科学基盤モデルとAIエージェントで仮説検証や研究工程を自動化する国家計画である。</x:t>
        </x:is>
      </x:c>
      <x:c r="K89" s="60" t="inlineStr">
        <x:is>
          <x:t xml:space="preserve">https://www.whitehouse.gov/presidential-actions/2025/11/launching-the-genesis-mission/</x:t>
        </x:is>
      </x:c>
      <x:c r="L89" s="60" t="inlineStr">
        <x:is>
          <x:t xml:space="preserve">f224687901952d4c32603531</x:t>
        </x:is>
      </x:c>
      <x:c r="M89" s="75" t="inlineStr">
        <x:is>
          <x:t xml:space="preserve">2025-11-24T09:00:00+09:00</x:t>
        </x:is>
      </x:c>
      <x:c r="N89" s="60" t="inlineStr">
        <x:is>
          <x:t xml:space="preserve">New</x:t>
        </x:is>
      </x:c>
      <x:c r="O89" s="60" t="inlineStr">
        <x:is>
          <x:t xml:space="preserve">枠: Innovation Policy / 政策分野: National Programs &amp; Strategy | Research System &amp; Talent / 学術区分: News &amp; Official Release / 焦点: AI、連邦科学データ、国立研究所を統合する国家研究基盤 / Pinned official policy benchmark.</x:t>
        </x:is>
      </x:c>
    </x:row>
    <x:row r="90" ht="42" customHeight="1">
      <x:c r="A90" s="75" t="inlineStr">
        <x:is>
          <x:t xml:space="preserve">2026-07-26T22:54:37+09:00</x:t>
        </x:is>
      </x:c>
      <x:c r="B90" s="75" t="inlineStr">
        <x:is>
          <x:t xml:space="preserve">2025-11-24T00:00:00Z</x:t>
        </x:is>
      </x:c>
      <x:c r="C90" s="60" t="inlineStr">
        <x:is>
          <x:t xml:space="preserve">EU &amp; Europe</x:t>
        </x:is>
      </x:c>
      <x:c r="D90" s="60" t="inlineStr">
        <x:is>
          <x:t xml:space="preserve">United Kingdom</x:t>
        </x:is>
      </x:c>
      <x:c r="E90" s="60" t="inlineStr">
        <x:is>
          <x:t xml:space="preserve"/>
        </x:is>
      </x:c>
      <x:c r="F90" s="76" t="n">
        <x:v>5</x:v>
      </x:c>
      <x:c r="G90" s="60" t="inlineStr">
        <x:is>
          <x:t xml:space="preserve">Government</x:t>
        </x:is>
      </x:c>
      <x:c r="H90" s="60" t="inlineStr">
        <x:is>
          <x:t xml:space="preserve">United Kingdom Innovation Policy Benchmarks</x:t>
        </x:is>
      </x:c>
      <x:c r="I90" s="60" t="inlineStr">
        <x:is>
          <x:t xml:space="preserve">英国、UKRIの386億ポンドを戦略分野と企業成長へ重点配分</x:t>
        </x:is>
      </x:c>
      <x:c r="J90" s="60" t="inlineStr">
        <x:is>
          <x:t xml:space="preserve">英国政府はUKRIの総額386億ポンドの研究資金を重点化する。政府優先課題に80億ポンド、革新的企業の成長に70億ポンドを振り向け、量子などの戦略技術、研究成果の事業化、国際研究人材を支援する。</x:t>
        </x:is>
      </x:c>
      <x:c r="K90" s="60" t="inlineStr">
        <x:is>
          <x:t xml:space="preserve">https://www.gov.uk/government/news/more-targeted-rd-investment-towards-driving-uk-growth-and-jobs-unveiled-by-technology-secretary</x:t>
        </x:is>
      </x:c>
      <x:c r="L90" s="60" t="inlineStr">
        <x:is>
          <x:t xml:space="preserve">352d511ffda7b190e7b5b71f</x:t>
        </x:is>
      </x:c>
      <x:c r="M90" s="75" t="inlineStr">
        <x:is>
          <x:t xml:space="preserve">2025-11-24T09:00:00+09:00</x:t>
        </x:is>
      </x:c>
      <x:c r="N90" s="60" t="inlineStr">
        <x:is>
          <x:t xml:space="preserve">New</x:t>
        </x:is>
      </x:c>
      <x:c r="O90" s="60" t="inlineStr">
        <x:is>
          <x:t xml:space="preserve">枠: Innovation Policy / 政策分野: R&amp;D Funding &amp; Tax Incentives | National Programs &amp; Strategy | Public Procurement &amp; Industrial Policy | Research System &amp; Talent / 学術区分: News &amp; Official Release / 焦点: 公的R&amp;D資金の戦略分野・企業成長・研究人材への重点配分 / Pinned official policy benchmark.</x:t>
        </x:is>
      </x:c>
    </x:row>
    <x:row r="91" ht="42" customHeight="1">
      <x:c r="A91" s="75" t="inlineStr">
        <x:is>
          <x:t xml:space="preserve">2026-07-26T22:54:37+09:00</x:t>
        </x:is>
      </x:c>
      <x:c r="B91" s="75" t="inlineStr">
        <x:is>
          <x:t xml:space="preserve">2025-11-20T00:00:00Z</x:t>
        </x:is>
      </x:c>
      <x:c r="C91" s="60" t="inlineStr">
        <x:is>
          <x:t xml:space="preserve">EU &amp; Europe</x:t>
        </x:is>
      </x:c>
      <x:c r="D91" s="60" t="inlineStr">
        <x:is>
          <x:t xml:space="preserve">United Kingdom</x:t>
        </x:is>
      </x:c>
      <x:c r="E91" s="60" t="inlineStr">
        <x:is>
          <x:t xml:space="preserve">Artificial Intelligence</x:t>
        </x:is>
      </x:c>
      <x:c r="F91" s="76" t="n">
        <x:v>5</x:v>
      </x:c>
      <x:c r="G91" s="60" t="inlineStr">
        <x:is>
          <x:t xml:space="preserve">Government</x:t>
        </x:is>
      </x:c>
      <x:c r="H91" s="60" t="inlineStr">
        <x:is>
          <x:t xml:space="preserve">United Kingdom Innovation Policy Benchmarks</x:t>
        </x:is>
      </x:c>
      <x:c r="I91" s="60" t="inlineStr">
        <x:is>
          <x:t xml:space="preserve">英国、「AI for Science Strategy」で計算資源・データ・自律実験を一体支援</x:t>
        </x:is>
      </x:c>
      <x:c r="J91" s="60" t="inlineStr">
        <x:is>
          <x:t xml:space="preserve">英国はAIによる科学発見を加速する15施策を公表した。公共計算資源AIRR、研究データへの安全なアクセス、自律実験室、AIサイエンティストを一体で整備し、大型研究には6か月で20万～100万GPU時間を配分する。</x:t>
        </x:is>
      </x:c>
      <x:c r="K91" s="60" t="inlineStr">
        <x:is>
          <x:t xml:space="preserve">https://www.gov.uk/government/publications/ai-for-science-strategy/ai-for-science-strategy</x:t>
        </x:is>
      </x:c>
      <x:c r="L91" s="60" t="inlineStr">
        <x:is>
          <x:t xml:space="preserve">216920d93f7a73f79a84dad1</x:t>
        </x:is>
      </x:c>
      <x:c r="M91" s="75" t="inlineStr">
        <x:is>
          <x:t xml:space="preserve">2025-11-20T09:00:00+09:00</x:t>
        </x:is>
      </x:c>
      <x:c r="N91" s="60" t="inlineStr">
        <x:is>
          <x:t xml:space="preserve">New</x:t>
        </x:is>
      </x:c>
      <x:c r="O91" s="60" t="inlineStr">
        <x:is>
          <x:t xml:space="preserve">枠: Innovation Policy / 政策分野: R&amp;D Funding &amp; Tax Incentives | National Programs &amp; Strategy | Research System &amp; Talent / 学術区分: News &amp; Official Release / 焦点: AI計算資源、研究データ、自律実験室を統合した科学研究基盤 / Pinned official policy benchmark.</x:t>
        </x:is>
      </x:c>
    </x:row>
    <x:row r="92" ht="42" customHeight="1">
      <x:c r="A92" s="75" t="inlineStr">
        <x:is>
          <x:t xml:space="preserve">2026-07-26T22:54:37+09:00</x:t>
        </x:is>
      </x:c>
      <x:c r="B92" s="75" t="inlineStr">
        <x:is>
          <x:t xml:space="preserve">2025-09-15T00:00:00Z</x:t>
        </x:is>
      </x:c>
      <x:c r="C92" s="60" t="inlineStr">
        <x:is>
          <x:t xml:space="preserve">United States</x:t>
        </x:is>
      </x:c>
      <x:c r="D92" s="60" t="inlineStr">
        <x:is>
          <x:t xml:space="preserve">United States</x:t>
        </x:is>
      </x:c>
      <x:c r="E92" s="60" t="inlineStr">
        <x:is>
          <x:t xml:space="preserve"/>
        </x:is>
      </x:c>
      <x:c r="F92" s="76" t="n">
        <x:v>5</x:v>
      </x:c>
      <x:c r="G92" s="60" t="inlineStr">
        <x:is>
          <x:t xml:space="preserve">Government</x:t>
        </x:is>
      </x:c>
      <x:c r="H92" s="60" t="inlineStr">
        <x:is>
          <x:t xml:space="preserve">United States R&amp;D Tax Policy Benchmarks</x:t>
        </x:is>
      </x:c>
      <x:c r="I92" s="60" t="inlineStr">
        <x:is>
          <x:t xml:space="preserve">米国、国内R&amp;D費の即時控除を認める新Section 174Aの実施手続きを公表</x:t>
        </x:is>
      </x:c>
      <x:c r="J92" s="60" t="inlineStr">
        <x:is>
          <x:t xml:space="preserve">米国IRSは新設された内国歳入法Section 174Aの実施手続きを示した。2024年12月31日後に始まる課税年度の国内研究・実験費は原則即時控除できる一方、国外R&amp;D費は15年償却を継続し、過年度の国内R&amp;D費には移行措置を設ける。</x:t>
        </x:is>
      </x:c>
      <x:c r="K92" s="60" t="inlineStr">
        <x:is>
          <x:t xml:space="preserve">https://www.irs.gov/irb/2025-38_IRB</x:t>
        </x:is>
      </x:c>
      <x:c r="L92" s="60" t="inlineStr">
        <x:is>
          <x:t xml:space="preserve">f5062cb90623083863eb5adc</x:t>
        </x:is>
      </x:c>
      <x:c r="M92" s="75" t="inlineStr">
        <x:is>
          <x:t xml:space="preserve">2025-09-15T09:00:00+09:00</x:t>
        </x:is>
      </x:c>
      <x:c r="N92" s="60" t="inlineStr">
        <x:is>
          <x:t xml:space="preserve">New</x:t>
        </x:is>
      </x:c>
      <x:c r="O92" s="60" t="inlineStr">
        <x:is>
          <x:t xml:space="preserve">枠: Innovation Policy / 政策分野: R&amp;D Funding &amp; Tax Incentives / 学術区分: News &amp; Official Release / 焦点: 企業の国内研究開発費に対する即時控除と国外R&amp;D費の償却 / Pinned official policy benchmark.</x:t>
        </x:is>
      </x:c>
    </x:row>
    <x:row r="93" ht="42" customHeight="1">
      <x:c r="A93" s="75" t="inlineStr">
        <x:is>
          <x:t xml:space="preserve">2026-07-26T22:54:37+09:00</x:t>
        </x:is>
      </x:c>
      <x:c r="B93" s="75" t="inlineStr">
        <x:is>
          <x:t xml:space="preserve">2025-08-27T00:00:00Z</x:t>
        </x:is>
      </x:c>
      <x:c r="C93" s="60" t="inlineStr">
        <x:is>
          <x:t xml:space="preserve">Asia</x:t>
        </x:is>
      </x:c>
      <x:c r="D93" s="60" t="inlineStr">
        <x:is>
          <x:t xml:space="preserve">China</x:t>
        </x:is>
      </x:c>
      <x:c r="E93" s="60" t="inlineStr">
        <x:is>
          <x:t xml:space="preserve">Artificial Intelligence</x:t>
        </x:is>
      </x:c>
      <x:c r="F93" s="76" t="n">
        <x:v>5</x:v>
      </x:c>
      <x:c r="G93" s="60" t="inlineStr">
        <x:is>
          <x:t xml:space="preserve">Government</x:t>
        </x:is>
      </x:c>
      <x:c r="H93" s="60" t="inlineStr">
        <x:is>
          <x:t xml:space="preserve">China Innovation Policy Benchmarks</x:t>
        </x:is>
      </x:c>
      <x:c r="I93" s="60" t="inlineStr">
        <x:is>
          <x:t xml:space="preserve">中国国務院、「AI Plus」指針で6分野へのAI統合目標を設定</x:t>
        </x:is>
      </x:c>
      <x:c r="J93" s="60" t="inlineStr">
        <x:is>
          <x:t xml:space="preserve">中国国務院は「AI Plus」指針を公表し、科学技術、産業、消費、民生、ガバナンス、国際協力の6分野にAIを統合する。次世代スマート端末・AIエージェントの普及率を2027年に70％超、2030年に90％超へ引き上げる目標を置いた。</x:t>
        </x:is>
      </x:c>
      <x:c r="K93" s="60" t="inlineStr">
        <x:is>
          <x:t xml:space="preserve">https://english.www.gov.cn/policies/latestreleases/202508/27/content_WS68ae7976c6d0868f4e8f51a0.html</x:t>
        </x:is>
      </x:c>
      <x:c r="L93" s="60" t="inlineStr">
        <x:is>
          <x:t xml:space="preserve">234d256bd362cd224236af3c</x:t>
        </x:is>
      </x:c>
      <x:c r="M93" s="75" t="inlineStr">
        <x:is>
          <x:t xml:space="preserve">2025-08-27T09:00:00+09:00</x:t>
        </x:is>
      </x:c>
      <x:c r="N93" s="60" t="inlineStr">
        <x:is>
          <x:t xml:space="preserve">New</x:t>
        </x:is>
      </x:c>
      <x:c r="O93" s="60" t="inlineStr">
        <x:is>
          <x:t xml:space="preserve">枠: Innovation Policy / 政策分野: National Programs &amp; Strategy | Public Procurement &amp; Industrial Policy / 学術区分: News &amp; Official Release / 焦点: AIの研究・産業・公共部門への国家的な普及と実装 / Pinned official policy benchmark.</x:t>
        </x:is>
      </x:c>
    </x:row>
    <x:row r="94" ht="42" customHeight="1">
      <x:c r="A94" s="75" t="inlineStr">
        <x:is>
          <x:t xml:space="preserve">2026-07-26T22:54:37+09:00</x:t>
        </x:is>
      </x:c>
      <x:c r="B94" s="75" t="inlineStr">
        <x:is>
          <x:t xml:space="preserve">2025-08-05T00:00:00Z</x:t>
        </x:is>
      </x:c>
      <x:c r="C94" s="60" t="inlineStr">
        <x:is>
          <x:t xml:space="preserve">United States</x:t>
        </x:is>
      </x:c>
      <x:c r="D94" s="60" t="inlineStr">
        <x:is>
          <x:t xml:space="preserve">United States</x:t>
        </x:is>
      </x:c>
      <x:c r="E94" s="60" t="inlineStr">
        <x:is>
          <x:t xml:space="preserve">Artificial Intelligence | Biotechnology</x:t>
        </x:is>
      </x:c>
      <x:c r="F94" s="76" t="n">
        <x:v>5</x:v>
      </x:c>
      <x:c r="G94" s="60" t="inlineStr">
        <x:is>
          <x:t xml:space="preserve">Government</x:t>
        </x:is>
      </x:c>
      <x:c r="H94" s="60" t="inlineStr">
        <x:is>
          <x:t xml:space="preserve">NSF Policy Benchmarks</x:t>
        </x:is>
      </x:c>
      <x:c r="I94" s="60" t="inlineStr">
        <x:is>
          <x:t xml:space="preserve">NSF、AIプログラマブル・クラウド研究所の全米ネットワークへ投資</x:t>
        </x:is>
      </x:c>
      <x:c r="J94" s="60" t="inlineStr">
        <x:is>
          <x:t xml:space="preserve">米国NSFは、遠隔利用できるAIプログラマブル・クラウド研究所の全米ネットワークに投資する。初期対象はバイオテクノロジーと材料科学で、実験自動化と技術移転の加速を狙う。</x:t>
        </x:is>
      </x:c>
      <x:c r="K94" s="60" t="inlineStr">
        <x:is>
          <x:t xml:space="preserve">https://www.nsf.gov/news/nsf-invest-new-national-network-ai-programmable-cloud</x:t>
        </x:is>
      </x:c>
      <x:c r="L94" s="60" t="inlineStr">
        <x:is>
          <x:t xml:space="preserve">f5dc59710a410021bae58dc4</x:t>
        </x:is>
      </x:c>
      <x:c r="M94" s="75" t="inlineStr">
        <x:is>
          <x:t xml:space="preserve">2025-08-05T09:00:00+09:00</x:t>
        </x:is>
      </x:c>
      <x:c r="N94" s="60" t="inlineStr">
        <x:is>
          <x:t xml:space="preserve">New</x:t>
        </x:is>
      </x:c>
      <x:c r="O94" s="60" t="inlineStr">
        <x:is>
          <x:t xml:space="preserve">枠: Innovation Policy / 政策分野: R&amp;D Funding &amp; Tax Incentives | National Programs &amp; Strategy | Research System &amp; Talent / 学術区分: News &amp; Official Release / 焦点: AIで遠隔操作する研究施設ネットワーク / Pinned official policy benchmark.</x:t>
        </x:is>
      </x:c>
    </x:row>
  </x:sheetData>
  <x:mergeCells>
    <x:mergeCell ref="A1:O1"/>
    <x:mergeCell ref="A2:O2"/>
  </x:mergeCells>
  <x:conditionalFormatting sqref="F4:F4">
    <x:cfRule type="colorScale" priority="1">
      <x:colorScale>
        <x:cfvo type="min"/>
        <x:cfvo type="percentile" val="50"/>
        <x:cfvo type="max"/>
        <x:color rgb="FFEEF2F4"/>
        <x:color rgb="FFF7ECD4"/>
        <x:color rgb="FFF6C9C9"/>
      </x:colorScale>
    </x:cfRule>
  </x:conditionalFormatting>
  <x:dataValidations count="1">
    <x:dataValidation type="list" allowBlank="0" showDropDown="0" showInputMessage="0" showErrorMessage="0" sqref="N4:N94">
      <x:formula1>"New,Reviewed,Follow-up,Archived"</x:formula1>
    </x:dataValidation>
  </x:dataValidations>
  <x:hyperlinks>
    <x:hyperlink xmlns:r="http://schemas.openxmlformats.org/officeDocument/2006/relationships" ref="K4" r:id="R9c377545c07f4ecc"/>
    <x:hyperlink xmlns:r="http://schemas.openxmlformats.org/officeDocument/2006/relationships" ref="K5" r:id="R74420de31d1042cc"/>
    <x:hyperlink xmlns:r="http://schemas.openxmlformats.org/officeDocument/2006/relationships" ref="K6" r:id="Rada25824d41f4e61"/>
    <x:hyperlink xmlns:r="http://schemas.openxmlformats.org/officeDocument/2006/relationships" ref="K7" r:id="R2b600573b6044a7d"/>
    <x:hyperlink xmlns:r="http://schemas.openxmlformats.org/officeDocument/2006/relationships" ref="K8" r:id="R3ec81b1fdfc847e6"/>
    <x:hyperlink xmlns:r="http://schemas.openxmlformats.org/officeDocument/2006/relationships" ref="K9" r:id="R70d57b9fa49e4a35"/>
    <x:hyperlink xmlns:r="http://schemas.openxmlformats.org/officeDocument/2006/relationships" ref="K10" r:id="Rc55a0d23d2664644"/>
    <x:hyperlink xmlns:r="http://schemas.openxmlformats.org/officeDocument/2006/relationships" ref="K11" r:id="R1e7dd4a382f743b0"/>
    <x:hyperlink xmlns:r="http://schemas.openxmlformats.org/officeDocument/2006/relationships" ref="K12" r:id="R15359ca5cca2466c"/>
    <x:hyperlink xmlns:r="http://schemas.openxmlformats.org/officeDocument/2006/relationships" ref="K13" r:id="Rb3f42906a37443b9"/>
    <x:hyperlink xmlns:r="http://schemas.openxmlformats.org/officeDocument/2006/relationships" ref="K14" r:id="R60bad077b23043c5"/>
    <x:hyperlink xmlns:r="http://schemas.openxmlformats.org/officeDocument/2006/relationships" ref="K15" r:id="R9012f482413d474a"/>
    <x:hyperlink xmlns:r="http://schemas.openxmlformats.org/officeDocument/2006/relationships" ref="K16" r:id="R731ed85ed9aa487e"/>
    <x:hyperlink xmlns:r="http://schemas.openxmlformats.org/officeDocument/2006/relationships" ref="K17" r:id="R4dd77e43461f416b"/>
    <x:hyperlink xmlns:r="http://schemas.openxmlformats.org/officeDocument/2006/relationships" ref="K18" r:id="R6189f74fe03b4f6c"/>
    <x:hyperlink xmlns:r="http://schemas.openxmlformats.org/officeDocument/2006/relationships" ref="K19" r:id="R58098469815e4a1d"/>
    <x:hyperlink xmlns:r="http://schemas.openxmlformats.org/officeDocument/2006/relationships" ref="K20" r:id="Rcf38541b4ee5421a"/>
    <x:hyperlink xmlns:r="http://schemas.openxmlformats.org/officeDocument/2006/relationships" ref="K21" r:id="Rf5ac94848ac04fdb"/>
    <x:hyperlink xmlns:r="http://schemas.openxmlformats.org/officeDocument/2006/relationships" ref="K22" r:id="Ra10fb0b29c2b46fe"/>
    <x:hyperlink xmlns:r="http://schemas.openxmlformats.org/officeDocument/2006/relationships" ref="K23" r:id="R49d38986b96e403a"/>
    <x:hyperlink xmlns:r="http://schemas.openxmlformats.org/officeDocument/2006/relationships" ref="K24" r:id="R1bedbd0761334a72"/>
    <x:hyperlink xmlns:r="http://schemas.openxmlformats.org/officeDocument/2006/relationships" ref="K25" r:id="R100b4b254d124058"/>
    <x:hyperlink xmlns:r="http://schemas.openxmlformats.org/officeDocument/2006/relationships" ref="K26" r:id="Rc8370b3200f84548"/>
    <x:hyperlink xmlns:r="http://schemas.openxmlformats.org/officeDocument/2006/relationships" ref="K27" r:id="R4e4d8e2ccb6643a5"/>
    <x:hyperlink xmlns:r="http://schemas.openxmlformats.org/officeDocument/2006/relationships" ref="K28" r:id="Rb3449e2128464c08"/>
    <x:hyperlink xmlns:r="http://schemas.openxmlformats.org/officeDocument/2006/relationships" ref="K29" r:id="R607ffc0d7ad84472"/>
    <x:hyperlink xmlns:r="http://schemas.openxmlformats.org/officeDocument/2006/relationships" ref="K30" r:id="R93e84778b4384578"/>
    <x:hyperlink xmlns:r="http://schemas.openxmlformats.org/officeDocument/2006/relationships" ref="K31" r:id="Ra742bbae66264d51"/>
    <x:hyperlink xmlns:r="http://schemas.openxmlformats.org/officeDocument/2006/relationships" ref="K32" r:id="R230e66d3c1bb4a57"/>
    <x:hyperlink xmlns:r="http://schemas.openxmlformats.org/officeDocument/2006/relationships" ref="K33" r:id="Rce75ef2bd15a482d"/>
    <x:hyperlink xmlns:r="http://schemas.openxmlformats.org/officeDocument/2006/relationships" ref="K34" r:id="R896b25d271234657"/>
    <x:hyperlink xmlns:r="http://schemas.openxmlformats.org/officeDocument/2006/relationships" ref="K35" r:id="R8138cbde636d4898"/>
    <x:hyperlink xmlns:r="http://schemas.openxmlformats.org/officeDocument/2006/relationships" ref="K36" r:id="R3ce6ef3149ab46df"/>
    <x:hyperlink xmlns:r="http://schemas.openxmlformats.org/officeDocument/2006/relationships" ref="K37" r:id="R00d5fcd317e647e8"/>
    <x:hyperlink xmlns:r="http://schemas.openxmlformats.org/officeDocument/2006/relationships" ref="K38" r:id="R02705b4e48594501"/>
    <x:hyperlink xmlns:r="http://schemas.openxmlformats.org/officeDocument/2006/relationships" ref="K39" r:id="R5d9f520513134b25"/>
    <x:hyperlink xmlns:r="http://schemas.openxmlformats.org/officeDocument/2006/relationships" ref="K40" r:id="R9c350e78fecb462c"/>
    <x:hyperlink xmlns:r="http://schemas.openxmlformats.org/officeDocument/2006/relationships" ref="K41" r:id="R8ba3aaee84224d3b"/>
    <x:hyperlink xmlns:r="http://schemas.openxmlformats.org/officeDocument/2006/relationships" ref="K42" r:id="Rbb0f6fceeb894a5f"/>
    <x:hyperlink xmlns:r="http://schemas.openxmlformats.org/officeDocument/2006/relationships" ref="K43" r:id="R6b7ecf7566e64e3a"/>
    <x:hyperlink xmlns:r="http://schemas.openxmlformats.org/officeDocument/2006/relationships" ref="K44" r:id="Rdedcaf2d063c4cc7"/>
    <x:hyperlink xmlns:r="http://schemas.openxmlformats.org/officeDocument/2006/relationships" ref="K45" r:id="Rac8cfe5495f84321"/>
    <x:hyperlink xmlns:r="http://schemas.openxmlformats.org/officeDocument/2006/relationships" ref="K46" r:id="R491193d6e6c748bb"/>
    <x:hyperlink xmlns:r="http://schemas.openxmlformats.org/officeDocument/2006/relationships" ref="K47" r:id="Ra2e3b4fd26914115"/>
    <x:hyperlink xmlns:r="http://schemas.openxmlformats.org/officeDocument/2006/relationships" ref="K48" r:id="R36dff384d7944234"/>
    <x:hyperlink xmlns:r="http://schemas.openxmlformats.org/officeDocument/2006/relationships" ref="K49" r:id="Ra6d946cf89554d50"/>
    <x:hyperlink xmlns:r="http://schemas.openxmlformats.org/officeDocument/2006/relationships" ref="K50" r:id="Rd2d0742092ef4bf6"/>
    <x:hyperlink xmlns:r="http://schemas.openxmlformats.org/officeDocument/2006/relationships" ref="K51" r:id="R2e539618fc6c4ade"/>
    <x:hyperlink xmlns:r="http://schemas.openxmlformats.org/officeDocument/2006/relationships" ref="K52" r:id="R78eaccc86064432f"/>
    <x:hyperlink xmlns:r="http://schemas.openxmlformats.org/officeDocument/2006/relationships" ref="K53" r:id="R79df81785fad4157"/>
    <x:hyperlink xmlns:r="http://schemas.openxmlformats.org/officeDocument/2006/relationships" ref="K54" r:id="Rc9f748728dc6498e"/>
    <x:hyperlink xmlns:r="http://schemas.openxmlformats.org/officeDocument/2006/relationships" ref="K55" r:id="Re7b03c71144d4790"/>
    <x:hyperlink xmlns:r="http://schemas.openxmlformats.org/officeDocument/2006/relationships" ref="K56" r:id="R0f1da00a2a1145d6"/>
    <x:hyperlink xmlns:r="http://schemas.openxmlformats.org/officeDocument/2006/relationships" ref="K57" r:id="R77f7b7837f574a14"/>
    <x:hyperlink xmlns:r="http://schemas.openxmlformats.org/officeDocument/2006/relationships" ref="K58" r:id="R570613f611054fbe"/>
    <x:hyperlink xmlns:r="http://schemas.openxmlformats.org/officeDocument/2006/relationships" ref="K59" r:id="R71e7ff4029cc4dfa"/>
    <x:hyperlink xmlns:r="http://schemas.openxmlformats.org/officeDocument/2006/relationships" ref="K60" r:id="Ra2f9a4c89d0e4534"/>
    <x:hyperlink xmlns:r="http://schemas.openxmlformats.org/officeDocument/2006/relationships" ref="K61" r:id="Re7a16b9f2d84424f"/>
    <x:hyperlink xmlns:r="http://schemas.openxmlformats.org/officeDocument/2006/relationships" ref="K62" r:id="R43644f23840d4930"/>
    <x:hyperlink xmlns:r="http://schemas.openxmlformats.org/officeDocument/2006/relationships" ref="K63" r:id="R760e8b6d093f43c1"/>
    <x:hyperlink xmlns:r="http://schemas.openxmlformats.org/officeDocument/2006/relationships" ref="K64" r:id="R24615f55eca6431c"/>
    <x:hyperlink xmlns:r="http://schemas.openxmlformats.org/officeDocument/2006/relationships" ref="K65" r:id="Ref1d8807faca4034"/>
    <x:hyperlink xmlns:r="http://schemas.openxmlformats.org/officeDocument/2006/relationships" ref="K66" r:id="R7b84550eb1044b54"/>
    <x:hyperlink xmlns:r="http://schemas.openxmlformats.org/officeDocument/2006/relationships" ref="K67" r:id="R7999e8ad8cae4cae"/>
    <x:hyperlink xmlns:r="http://schemas.openxmlformats.org/officeDocument/2006/relationships" ref="K68" r:id="Rf886008bb7644e33"/>
    <x:hyperlink xmlns:r="http://schemas.openxmlformats.org/officeDocument/2006/relationships" ref="K69" r:id="R19a903e75dc84a3e"/>
    <x:hyperlink xmlns:r="http://schemas.openxmlformats.org/officeDocument/2006/relationships" ref="K70" r:id="R8aad6ac61abb445b"/>
    <x:hyperlink xmlns:r="http://schemas.openxmlformats.org/officeDocument/2006/relationships" ref="K71" r:id="Raa2ab93fa04f4232"/>
    <x:hyperlink xmlns:r="http://schemas.openxmlformats.org/officeDocument/2006/relationships" ref="K72" r:id="R11cc88a9d84a475c"/>
    <x:hyperlink xmlns:r="http://schemas.openxmlformats.org/officeDocument/2006/relationships" ref="K73" r:id="Rfb11ddec8cc54519"/>
    <x:hyperlink xmlns:r="http://schemas.openxmlformats.org/officeDocument/2006/relationships" ref="K74" r:id="Raee5d777e11146a6"/>
    <x:hyperlink xmlns:r="http://schemas.openxmlformats.org/officeDocument/2006/relationships" ref="K75" r:id="Re15d1e51b18140c6"/>
    <x:hyperlink xmlns:r="http://schemas.openxmlformats.org/officeDocument/2006/relationships" ref="K76" r:id="R70051f4da4024546"/>
    <x:hyperlink xmlns:r="http://schemas.openxmlformats.org/officeDocument/2006/relationships" ref="K77" r:id="R34aebffa71f84b07"/>
    <x:hyperlink xmlns:r="http://schemas.openxmlformats.org/officeDocument/2006/relationships" ref="K78" r:id="R8022f14066f94578"/>
    <x:hyperlink xmlns:r="http://schemas.openxmlformats.org/officeDocument/2006/relationships" ref="K79" r:id="R1f84b78481b04d37"/>
    <x:hyperlink xmlns:r="http://schemas.openxmlformats.org/officeDocument/2006/relationships" ref="K80" r:id="Raa039a76c72a4cd5"/>
    <x:hyperlink xmlns:r="http://schemas.openxmlformats.org/officeDocument/2006/relationships" ref="K81" r:id="R4924113e387f4a64"/>
    <x:hyperlink xmlns:r="http://schemas.openxmlformats.org/officeDocument/2006/relationships" ref="K82" r:id="R64b3c65d35604164"/>
    <x:hyperlink xmlns:r="http://schemas.openxmlformats.org/officeDocument/2006/relationships" ref="K83" r:id="R5b74eb5f5f67468e"/>
    <x:hyperlink xmlns:r="http://schemas.openxmlformats.org/officeDocument/2006/relationships" ref="K84" r:id="R579af74f3b3e4e5b"/>
    <x:hyperlink xmlns:r="http://schemas.openxmlformats.org/officeDocument/2006/relationships" ref="K85" r:id="Rc089a19376ac4b23"/>
    <x:hyperlink xmlns:r="http://schemas.openxmlformats.org/officeDocument/2006/relationships" ref="K86" r:id="R36dac4ed96574373"/>
    <x:hyperlink xmlns:r="http://schemas.openxmlformats.org/officeDocument/2006/relationships" ref="K87" r:id="Rb68aa988e532465b"/>
    <x:hyperlink xmlns:r="http://schemas.openxmlformats.org/officeDocument/2006/relationships" ref="K88" r:id="R7cf88df5e43a4eb5"/>
    <x:hyperlink xmlns:r="http://schemas.openxmlformats.org/officeDocument/2006/relationships" ref="K89" r:id="Re7f13de69d7d49f1"/>
    <x:hyperlink xmlns:r="http://schemas.openxmlformats.org/officeDocument/2006/relationships" ref="K90" r:id="R2ac241f8c2f94588"/>
    <x:hyperlink xmlns:r="http://schemas.openxmlformats.org/officeDocument/2006/relationships" ref="K91" r:id="R6098836fc4504c1d"/>
    <x:hyperlink xmlns:r="http://schemas.openxmlformats.org/officeDocument/2006/relationships" ref="K92" r:id="R03fbf0a9062048f2"/>
    <x:hyperlink xmlns:r="http://schemas.openxmlformats.org/officeDocument/2006/relationships" ref="K93" r:id="Ra254d7c001134b43"/>
    <x:hyperlink xmlns:r="http://schemas.openxmlformats.org/officeDocument/2006/relationships" ref="K94" r:id="R0e7923b227704076"/>
  </x:hyperlinks>
  <x:pageMargins left="0.7" right="0.7" top="0.75" bottom="0.75" header="0.3" footer="0.3"/>
  <x:tableParts count="1">
    <x:tablePart xmlns:r="http://schemas.openxmlformats.org/officeDocument/2006/relationships" r:id="Rdce2b244c89743e6"/>
  </x:tableParts>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10" customWidth="1"/>
    <x:col min="2" max="2" width="18" customWidth="1"/>
    <x:col min="3" max="3" width="20" customWidth="1"/>
    <x:col min="4" max="4" width="30" customWidth="1"/>
    <x:col min="5" max="5" width="30" customWidth="1"/>
    <x:col min="6" max="6" width="34" customWidth="1"/>
    <x:col min="7" max="7" width="58" customWidth="1"/>
    <x:col min="8" max="8" width="48" customWidth="1"/>
    <x:col min="9" max="9" width="10" customWidth="1"/>
    <x:col min="10" max="10" width="13" customWidth="1"/>
    <x:col min="11" max="11" width="56" customWidth="1"/>
    <x:col min="12" max="12" width="14" hidden="0" customWidth="1"/>
    <x:col min="13" max="13" width="12" hidden="0" customWidth="1"/>
    <x:col min="14" max="14" width="34" hidden="0" customWidth="1"/>
  </x:cols>
  <x:sheetData>
    <x:row r="1" ht="34" customHeight="1">
      <x:c r="A1" s="4" t="str">
        <x:v>Source Registry</x:v>
      </x:c>
    </x:row>
    <x:row r="2" ht="25" customHeight="1">
      <x:c r="A2" s="67" t="str">
        <x:v>Curated allowlist: 259 active sources; S/A daily, B weekly; broad sources use strict relevance filtering</x:v>
      </x:c>
      <x:c r="B2" s="68" t="n"/>
      <x:c r="C2" s="68" t="n"/>
      <x:c r="D2" s="68" t="n"/>
      <x:c r="E2" s="68" t="n"/>
      <x:c r="F2" s="68" t="n"/>
      <x:c r="G2" s="68" t="n"/>
      <x:c r="H2" s="68" t="n"/>
      <x:c r="I2" s="68" t="n"/>
      <x:c r="J2" s="68" t="n"/>
      <x:c r="K2" s="69" t="n"/>
    </x:row>
    <x:row r="3" ht="31" customHeight="1">
      <x:c r="A3" s="132" t="str">
        <x:v>Active</x:v>
      </x:c>
      <x:c r="B3" s="132" t="str">
        <x:v>Region</x:v>
      </x:c>
      <x:c r="C3" s="132" t="str">
        <x:v>Country</x:v>
      </x:c>
      <x:c r="D3" s="132" t="str">
        <x:v>Category</x:v>
      </x:c>
      <x:c r="E3" s="132" t="str">
        <x:v>Source Name</x:v>
      </x:c>
      <x:c r="F3" s="132" t="str">
        <x:v>Organization</x:v>
      </x:c>
      <x:c r="G3" s="132" t="str">
        <x:v>Feed URL</x:v>
      </x:c>
      <x:c r="H3" s="132" t="str">
        <x:v>Homepage</x:v>
      </x:c>
      <x:c r="I3" s="132" t="str">
        <x:v>Priority</x:v>
      </x:c>
      <x:c r="J3" s="132" t="str">
        <x:v>Native Feed</x:v>
      </x:c>
      <x:c r="K3" s="132" t="str">
        <x:v>Notes</x:v>
      </x:c>
      <x:c r="L3" s="133" t="str">
        <x:v>Coverage Tier</x:v>
      </x:c>
      <x:c r="M3" s="133" t="str">
        <x:v>Cadence</x:v>
      </x:c>
      <x:c r="N3" s="133" t="str">
        <x:v>Topic Tags</x:v>
      </x:c>
    </x:row>
    <x:row r="4" ht="36" customHeight="1">
      <x:c r="A4" s="134" t="str">
        <x:v>Yes</x:v>
      </x:c>
      <x:c r="B4" s="135" t="str">
        <x:v>Global</x:v>
      </x:c>
      <x:c r="C4" s="135" t="str">
        <x:v>Global</x:v>
      </x:c>
      <x:c r="D4" s="135" t="str">
        <x:v>Technology and policy</x:v>
      </x:c>
      <x:c r="E4" s="135" t="str">
        <x:v>Bloomberg Technology</x:v>
      </x:c>
      <x:c r="F4" s="135" t="str">
        <x:v>Bloomberg</x:v>
      </x:c>
      <x:c r="G4" s="135" t="str">
        <x:v>https://www.bloomberg.com/feeds/technology/news.rss</x:v>
      </x:c>
      <x:c r="H4" s="135" t="str">
        <x:v>https://www.bloomberg.com/technology</x:v>
      </x:c>
      <x:c r="I4" s="136" t="n">
        <x:v>5</x:v>
      </x:c>
      <x:c r="J4" s="134" t="str">
        <x:v>Yes</x:v>
      </x:c>
      <x:c r="K4" s="135" t="str">
        <x:v>Established global business and policy news.</x:v>
      </x:c>
      <x:c r="L4" s="137" t="str">
        <x:v>S</x:v>
      </x:c>
      <x:c r="M4" s="137" t="str">
        <x:v>Daily</x:v>
      </x:c>
      <x:c r="N4" s="138" t="str"/>
    </x:row>
    <x:row r="5" ht="36" customHeight="1">
      <x:c r="A5" s="139" t="str">
        <x:v>Yes</x:v>
      </x:c>
      <x:c r="B5" s="140" t="str">
        <x:v>Global</x:v>
      </x:c>
      <x:c r="C5" s="140" t="str">
        <x:v>United Kingdom</x:v>
      </x:c>
      <x:c r="D5" s="140" t="str">
        <x:v>Science and environment</x:v>
      </x:c>
      <x:c r="E5" s="140" t="str">
        <x:v>BBC Science &amp; Environment</x:v>
      </x:c>
      <x:c r="F5" s="140" t="str">
        <x:v>BBC</x:v>
      </x:c>
      <x:c r="G5" s="140" t="str">
        <x:v>https://feeds.bbci.co.uk/news/science_and_environment/rss.xml</x:v>
      </x:c>
      <x:c r="H5" s="140" t="str">
        <x:v>https://www.bbc.com/news/science_and_environment</x:v>
      </x:c>
      <x:c r="I5" s="141" t="n">
        <x:v>4</x:v>
      </x:c>
      <x:c r="J5" s="139" t="str">
        <x:v>Yes</x:v>
      </x:c>
      <x:c r="K5" s="140" t="str">
        <x:v>Broad science coverage; topic filter is applied.</x:v>
      </x:c>
      <x:c r="L5" s="142" t="str">
        <x:v>A</x:v>
      </x:c>
      <x:c r="M5" s="142" t="str">
        <x:v>Daily</x:v>
      </x:c>
      <x:c r="N5" s="143" t="str"/>
    </x:row>
    <x:row r="6" ht="36" customHeight="1">
      <x:c r="A6" s="139" t="str">
        <x:v>Yes</x:v>
      </x:c>
      <x:c r="B6" s="140" t="str">
        <x:v>Global</x:v>
      </x:c>
      <x:c r="C6" s="140" t="str">
        <x:v>United Kingdom</x:v>
      </x:c>
      <x:c r="D6" s="140" t="str">
        <x:v>Technology and innovation</x:v>
      </x:c>
      <x:c r="E6" s="140" t="str">
        <x:v>BBC Technology</x:v>
      </x:c>
      <x:c r="F6" s="140" t="str">
        <x:v>BBC</x:v>
      </x:c>
      <x:c r="G6" s="140" t="str">
        <x:v>https://feeds.bbci.co.uk/news/technology/rss.xml</x:v>
      </x:c>
      <x:c r="H6" s="140" t="str">
        <x:v>https://www.bbc.com/news/technology</x:v>
      </x:c>
      <x:c r="I6" s="141" t="n">
        <x:v>4</x:v>
      </x:c>
      <x:c r="J6" s="139" t="str">
        <x:v>Yes</x:v>
      </x:c>
      <x:c r="K6" s="140" t="str">
        <x:v>Official BBC technology feed; strict innovation-scope review is applied.</x:v>
      </x:c>
      <x:c r="L6" s="142" t="str">
        <x:v>A</x:v>
      </x:c>
      <x:c r="M6" s="142" t="str">
        <x:v>Daily</x:v>
      </x:c>
      <x:c r="N6" s="143" t="str"/>
    </x:row>
    <x:row r="7" ht="36" customHeight="1">
      <x:c r="A7" s="139" t="str">
        <x:v>Yes</x:v>
      </x:c>
      <x:c r="B7" s="140" t="str">
        <x:v>United States</x:v>
      </x:c>
      <x:c r="C7" s="140" t="str">
        <x:v>United States</x:v>
      </x:c>
      <x:c r="D7" s="140" t="str">
        <x:v>Technology and innovation</x:v>
      </x:c>
      <x:c r="E7" s="140" t="str">
        <x:v>The New York Times Technology</x:v>
      </x:c>
      <x:c r="F7" s="140" t="str">
        <x:v>The New York Times</x:v>
      </x:c>
      <x:c r="G7" s="140" t="str">
        <x:v>https://rss.nytimes.com/services/xml/rss/nyt/Technology.xml</x:v>
      </x:c>
      <x:c r="H7" s="140" t="str">
        <x:v>https://www.nytimes.com/section/technology</x:v>
      </x:c>
      <x:c r="I7" s="141" t="n">
        <x:v>4</x:v>
      </x:c>
      <x:c r="J7" s="139" t="str">
        <x:v>Yes</x:v>
      </x:c>
      <x:c r="K7" s="140" t="str">
        <x:v>Official New York Times technology feed; strict innovation-scope review is applied.</x:v>
      </x:c>
      <x:c r="L7" s="142" t="str">
        <x:v>A</x:v>
      </x:c>
      <x:c r="M7" s="142" t="str">
        <x:v>Daily</x:v>
      </x:c>
      <x:c r="N7" s="143" t="str"/>
    </x:row>
    <x:row r="8" ht="36" customHeight="1">
      <x:c r="A8" s="139" t="str">
        <x:v>Yes</x:v>
      </x:c>
      <x:c r="B8" s="140" t="str">
        <x:v>United States</x:v>
      </x:c>
      <x:c r="C8" s="140" t="str">
        <x:v>United States</x:v>
      </x:c>
      <x:c r="D8" s="140" t="str">
        <x:v>Science and research</x:v>
      </x:c>
      <x:c r="E8" s="140" t="str">
        <x:v>The New York Times Science</x:v>
      </x:c>
      <x:c r="F8" s="140" t="str">
        <x:v>The New York Times</x:v>
      </x:c>
      <x:c r="G8" s="140" t="str">
        <x:v>https://rss.nytimes.com/services/xml/rss/nyt/Science.xml</x:v>
      </x:c>
      <x:c r="H8" s="140" t="str">
        <x:v>https://www.nytimes.com/section/science</x:v>
      </x:c>
      <x:c r="I8" s="141" t="n">
        <x:v>4</x:v>
      </x:c>
      <x:c r="J8" s="139" t="str">
        <x:v>Yes</x:v>
      </x:c>
      <x:c r="K8" s="140" t="str">
        <x:v>Official New York Times science feed; strict innovation-scope review is applied.</x:v>
      </x:c>
      <x:c r="L8" s="142" t="str">
        <x:v>A</x:v>
      </x:c>
      <x:c r="M8" s="142" t="str">
        <x:v>Daily</x:v>
      </x:c>
      <x:c r="N8" s="143" t="str"/>
    </x:row>
    <x:row r="9" ht="36" customHeight="1">
      <x:c r="A9" s="139" t="str">
        <x:v>Yes</x:v>
      </x:c>
      <x:c r="B9" s="140" t="str">
        <x:v>Asia</x:v>
      </x:c>
      <x:c r="C9" s="140" t="str">
        <x:v>Japan</x:v>
      </x:c>
      <x:c r="D9" s="140" t="str">
        <x:v>Science, technology and innovation policy</x:v>
      </x:c>
      <x:c r="E9" s="140" t="str">
        <x:v>NISTEP Updates</x:v>
      </x:c>
      <x:c r="F9" s="140" t="str">
        <x:v>National Institute of Science and Technology Policy</x:v>
      </x:c>
      <x:c r="G9" s="140" t="str">
        <x:v>https://www.nistep.go.jp/feed</x:v>
      </x:c>
      <x:c r="H9" s="140" t="str">
        <x:v>https://www.nistep.go.jp/</x:v>
      </x:c>
      <x:c r="I9" s="141" t="n">
        <x:v>5</x:v>
      </x:c>
      <x:c r="J9" s="139" t="str">
        <x:v>Yes</x:v>
      </x:c>
      <x:c r="K9" s="140" t="str">
        <x:v>Official Japanese science and technology policy institute feed.</x:v>
      </x:c>
      <x:c r="L9" s="142" t="str">
        <x:v>S</x:v>
      </x:c>
      <x:c r="M9" s="142" t="str">
        <x:v>Daily</x:v>
      </x:c>
      <x:c r="N9" s="143" t="str"/>
    </x:row>
    <x:row r="10" ht="36" customHeight="1">
      <x:c r="A10" s="139" t="str">
        <x:v>Yes</x:v>
      </x:c>
      <x:c r="B10" s="140" t="str">
        <x:v>Global</x:v>
      </x:c>
      <x:c r="C10" s="140" t="str">
        <x:v>United Kingdom</x:v>
      </x:c>
      <x:c r="D10" s="140" t="str">
        <x:v>Technology</x:v>
      </x:c>
      <x:c r="E10" s="140" t="str">
        <x:v>The Guardian Technology</x:v>
      </x:c>
      <x:c r="F10" s="140" t="str">
        <x:v>Guardian News &amp; Media</x:v>
      </x:c>
      <x:c r="G10" s="140" t="str">
        <x:v>https://www.theguardian.com/technology/rss</x:v>
      </x:c>
      <x:c r="H10" s="140" t="str">
        <x:v>https://www.theguardian.com/technology</x:v>
      </x:c>
      <x:c r="I10" s="141" t="n">
        <x:v>3</x:v>
      </x:c>
      <x:c r="J10" s="139" t="str">
        <x:v>Yes</x:v>
      </x:c>
      <x:c r="K10" s="140" t="str">
        <x:v>Major media; strict topic filter is applied.</x:v>
      </x:c>
      <x:c r="L10" s="142" t="str">
        <x:v>B</x:v>
      </x:c>
      <x:c r="M10" s="142" t="str">
        <x:v>Weekly</x:v>
      </x:c>
      <x:c r="N10" s="143" t="str"/>
    </x:row>
    <x:row r="11" ht="36" customHeight="1">
      <x:c r="A11" s="139" t="str">
        <x:v>Yes</x:v>
      </x:c>
      <x:c r="B11" s="140" t="str">
        <x:v>Global</x:v>
      </x:c>
      <x:c r="C11" s="140" t="str">
        <x:v>United States</x:v>
      </x:c>
      <x:c r="D11" s="140" t="str">
        <x:v>Emerging technology</x:v>
      </x:c>
      <x:c r="E11" s="140" t="str">
        <x:v>MIT Technology Review</x:v>
      </x:c>
      <x:c r="F11" s="140" t="str">
        <x:v>MIT Technology Review</x:v>
      </x:c>
      <x:c r="G11" s="140" t="str">
        <x:v>https://www.technologyreview.com/feed/</x:v>
      </x:c>
      <x:c r="H11" s="140" t="str">
        <x:v>https://www.technologyreview.com/</x:v>
      </x:c>
      <x:c r="I11" s="141" t="n">
        <x:v>4</x:v>
      </x:c>
      <x:c r="J11" s="139" t="str">
        <x:v>Yes</x:v>
      </x:c>
      <x:c r="K11" s="140" t="str">
        <x:v>Established specialist publication.</x:v>
      </x:c>
      <x:c r="L11" s="142" t="str">
        <x:v>A</x:v>
      </x:c>
      <x:c r="M11" s="142" t="str">
        <x:v>Daily</x:v>
      </x:c>
      <x:c r="N11" s="143" t="str"/>
    </x:row>
    <x:row r="12" ht="36" customHeight="1">
      <x:c r="A12" s="139" t="str">
        <x:v>Yes</x:v>
      </x:c>
      <x:c r="B12" s="140" t="str">
        <x:v>Global</x:v>
      </x:c>
      <x:c r="C12" s="140" t="str">
        <x:v>United States</x:v>
      </x:c>
      <x:c r="D12" s="140" t="str">
        <x:v>Engineering and technology</x:v>
      </x:c>
      <x:c r="E12" s="140" t="str">
        <x:v>IEEE Spectrum</x:v>
      </x:c>
      <x:c r="F12" s="140" t="str">
        <x:v>IEEE</x:v>
      </x:c>
      <x:c r="G12" s="140" t="str">
        <x:v>https://spectrum.ieee.org/feeds/feed.rss</x:v>
      </x:c>
      <x:c r="H12" s="140" t="str">
        <x:v>https://spectrum.ieee.org/</x:v>
      </x:c>
      <x:c r="I12" s="141" t="n">
        <x:v>4</x:v>
      </x:c>
      <x:c r="J12" s="139" t="str">
        <x:v>Yes</x:v>
      </x:c>
      <x:c r="K12" s="140" t="str">
        <x:v>IEEE editorial publication.</x:v>
      </x:c>
      <x:c r="L12" s="142" t="str">
        <x:v>A</x:v>
      </x:c>
      <x:c r="M12" s="142" t="str">
        <x:v>Daily</x:v>
      </x:c>
      <x:c r="N12" s="143" t="str"/>
    </x:row>
    <x:row r="13" ht="36" customHeight="1">
      <x:c r="A13" s="139" t="str">
        <x:v>Yes</x:v>
      </x:c>
      <x:c r="B13" s="140" t="str">
        <x:v>Global</x:v>
      </x:c>
      <x:c r="C13" s="140" t="str">
        <x:v>Global</x:v>
      </x:c>
      <x:c r="D13" s="140" t="str">
        <x:v>Science</x:v>
      </x:c>
      <x:c r="E13" s="140" t="str">
        <x:v>Nature</x:v>
      </x:c>
      <x:c r="F13" s="140" t="str">
        <x:v>Springer Nature</x:v>
      </x:c>
      <x:c r="G13" s="140" t="str">
        <x:v>https://www.nature.com/nature.rss</x:v>
      </x:c>
      <x:c r="H13" s="140" t="str">
        <x:v>https://www.nature.com/</x:v>
      </x:c>
      <x:c r="I13" s="141" t="n">
        <x:v>4</x:v>
      </x:c>
      <x:c r="J13" s="139" t="str">
        <x:v>Yes</x:v>
      </x:c>
      <x:c r="K13" s="140" t="str">
        <x:v>Leading scientific publication; innovation-topic filter is applied.</x:v>
      </x:c>
      <x:c r="L13" s="142" t="str">
        <x:v>A</x:v>
      </x:c>
      <x:c r="M13" s="142" t="str">
        <x:v>Daily</x:v>
      </x:c>
      <x:c r="N13" s="143" t="str"/>
    </x:row>
    <x:row r="14" ht="36" customHeight="1">
      <x:c r="A14" s="139" t="str">
        <x:v>Yes</x:v>
      </x:c>
      <x:c r="B14" s="140" t="str">
        <x:v>Global</x:v>
      </x:c>
      <x:c r="C14" s="140" t="str">
        <x:v>United States</x:v>
      </x:c>
      <x:c r="D14" s="140" t="str">
        <x:v>Science</x:v>
      </x:c>
      <x:c r="E14" s="140" t="str">
        <x:v>Science</x:v>
      </x:c>
      <x:c r="F14" s="140" t="str">
        <x:v>AAAS</x:v>
      </x:c>
      <x:c r="G14" s="140" t="str">
        <x:v>https://www.science.org/news/latest-news</x:v>
      </x:c>
      <x:c r="H14" s="140" t="str">
        <x:v>https://www.science.org/news/latest-news</x:v>
      </x:c>
      <x:c r="I14" s="141" t="n">
        <x:v>4</x:v>
      </x:c>
      <x:c r="J14" s="139" t="str">
        <x:v>No</x:v>
      </x:c>
      <x:c r="K14" s="140" t="str">
        <x:v>Leading scientific publication; scans the official latest-news page because the former RSS endpoint rejects automated access.</x:v>
      </x:c>
      <x:c r="L14" s="142" t="str">
        <x:v>A</x:v>
      </x:c>
      <x:c r="M14" s="142" t="str">
        <x:v>Daily</x:v>
      </x:c>
      <x:c r="N14" s="143" t="str"/>
    </x:row>
    <x:row r="15" ht="36" customHeight="1">
      <x:c r="A15" s="139" t="str">
        <x:v>Yes</x:v>
      </x:c>
      <x:c r="B15" s="140" t="str">
        <x:v>Asia</x:v>
      </x:c>
      <x:c r="C15" s="140" t="str">
        <x:v>Hong Kong</x:v>
      </x:c>
      <x:c r="D15" s="140" t="str">
        <x:v>Technology</x:v>
      </x:c>
      <x:c r="E15" s="140" t="str">
        <x:v>South China Morning Post Technology</x:v>
      </x:c>
      <x:c r="F15" s="140" t="str">
        <x:v>South China Morning Post</x:v>
      </x:c>
      <x:c r="G15" s="140" t="str">
        <x:v>https://www.scmp.com/rss/36/feed</x:v>
      </x:c>
      <x:c r="H15" s="140" t="str">
        <x:v>https://www.scmp.com/tech</x:v>
      </x:c>
      <x:c r="I15" s="141" t="n">
        <x:v>4</x:v>
      </x:c>
      <x:c r="J15" s="139" t="str">
        <x:v>Yes</x:v>
      </x:c>
      <x:c r="K15" s="140" t="str">
        <x:v>Major Asia-focused technology media; only /tech/ article URLs are accepted.</x:v>
      </x:c>
      <x:c r="L15" s="142" t="str">
        <x:v>A</x:v>
      </x:c>
      <x:c r="M15" s="142" t="str">
        <x:v>Daily</x:v>
      </x:c>
      <x:c r="N15" s="143" t="str"/>
    </x:row>
    <x:row r="16" ht="36" customHeight="1">
      <x:c r="A16" s="139" t="str">
        <x:v>Yes</x:v>
      </x:c>
      <x:c r="B16" s="140" t="str">
        <x:v>Middle East</x:v>
      </x:c>
      <x:c r="C16" s="140" t="str">
        <x:v>Saudi Arabia</x:v>
      </x:c>
      <x:c r="D16" s="140" t="str">
        <x:v>Technology</x:v>
      </x:c>
      <x:c r="E16" s="140" t="str">
        <x:v>Arab News Technology</x:v>
      </x:c>
      <x:c r="F16" s="140" t="str">
        <x:v>Arab News</x:v>
      </x:c>
      <x:c r="G16" s="140" t="str">
        <x:v>https://www.arabnews.com/tags/technology</x:v>
      </x:c>
      <x:c r="H16" s="140" t="str">
        <x:v>https://www.arabnews.com/tags/technology</x:v>
      </x:c>
      <x:c r="I16" s="141" t="n">
        <x:v>3</x:v>
      </x:c>
      <x:c r="J16" s="139" t="str">
        <x:v>No</x:v>
      </x:c>
      <x:c r="K16" s="140" t="str">
        <x:v>Established regional media; scans the official technology page because the former feed is access-blocked.</x:v>
      </x:c>
      <x:c r="L16" s="142" t="str">
        <x:v>B</x:v>
      </x:c>
      <x:c r="M16" s="142" t="str">
        <x:v>Weekly</x:v>
      </x:c>
      <x:c r="N16" s="143" t="str"/>
    </x:row>
    <x:row r="17" ht="36" customHeight="1">
      <x:c r="A17" s="139" t="str">
        <x:v>Yes</x:v>
      </x:c>
      <x:c r="B17" s="140" t="str">
        <x:v>Middle East</x:v>
      </x:c>
      <x:c r="C17" s="140" t="str">
        <x:v>United Arab Emirates</x:v>
      </x:c>
      <x:c r="D17" s="140" t="str">
        <x:v>Technology and innovation</x:v>
      </x:c>
      <x:c r="E17" s="140" t="str">
        <x:v>The National Technology</x:v>
      </x:c>
      <x:c r="F17" s="140" t="str">
        <x:v>The National</x:v>
      </x:c>
      <x:c r="G17" s="140" t="str">
        <x:v>https://www.thenationalnews.com/arc/outboundfeeds/rss/category/future/technology/?outputType=xml</x:v>
      </x:c>
      <x:c r="H17" s="140" t="str">
        <x:v>https://www.thenationalnews.com/future/technology/</x:v>
      </x:c>
      <x:c r="I17" s="141" t="n">
        <x:v>4</x:v>
      </x:c>
      <x:c r="J17" s="139" t="str">
        <x:v>Yes</x:v>
      </x:c>
      <x:c r="K17" s="140" t="str">
        <x:v>Established UAE-based regional newspaper; official technology feed.</x:v>
      </x:c>
      <x:c r="L17" s="142" t="str">
        <x:v>A</x:v>
      </x:c>
      <x:c r="M17" s="142" t="str">
        <x:v>Daily</x:v>
      </x:c>
      <x:c r="N17" s="143" t="str"/>
    </x:row>
    <x:row r="18" ht="36" customHeight="1">
      <x:c r="A18" s="139" t="str">
        <x:v>Yes</x:v>
      </x:c>
      <x:c r="B18" s="140" t="str">
        <x:v>United States</x:v>
      </x:c>
      <x:c r="C18" s="140" t="str">
        <x:v>United States</x:v>
      </x:c>
      <x:c r="D18" s="140" t="str">
        <x:v>Technology policy</x:v>
      </x:c>
      <x:c r="E18" s="140" t="str">
        <x:v>Brookings TechTank</x:v>
      </x:c>
      <x:c r="F18" s="140" t="str">
        <x:v>Brookings Institution</x:v>
      </x:c>
      <x:c r="G18" s="140" t="str">
        <x:v>https://www.brookings.edu/tags/techtank/</x:v>
      </x:c>
      <x:c r="H18" s="140" t="str">
        <x:v>https://www.brookings.edu/tags/techtank/</x:v>
      </x:c>
      <x:c r="I18" s="141" t="n">
        <x:v>5</x:v>
      </x:c>
      <x:c r="J18" s="139" t="str">
        <x:v>No</x:v>
      </x:c>
      <x:c r="K18" s="140" t="str">
        <x:v>Technology-policy analysis from Brookings; official listing-page fallback.</x:v>
      </x:c>
      <x:c r="L18" s="142" t="str">
        <x:v>S</x:v>
      </x:c>
      <x:c r="M18" s="142" t="str">
        <x:v>Daily</x:v>
      </x:c>
      <x:c r="N18" s="143" t="str"/>
    </x:row>
    <x:row r="19" ht="36" customHeight="1">
      <x:c r="A19" s="139" t="str">
        <x:v>Yes</x:v>
      </x:c>
      <x:c r="B19" s="140" t="str">
        <x:v>United States</x:v>
      </x:c>
      <x:c r="C19" s="140" t="str">
        <x:v>United States</x:v>
      </x:c>
      <x:c r="D19" s="140" t="str">
        <x:v>Technology and industrial policy</x:v>
      </x:c>
      <x:c r="E19" s="140" t="str">
        <x:v>CSIS Analysis</x:v>
      </x:c>
      <x:c r="F19" s="140" t="str">
        <x:v>Center for Strategic and International Studies</x:v>
      </x:c>
      <x:c r="G19" s="140" t="str">
        <x:v>https://www.csis.org/rss.xml</x:v>
      </x:c>
      <x:c r="H19" s="140" t="str">
        <x:v>https://www.csis.org/analysis</x:v>
      </x:c>
      <x:c r="I19" s="141" t="n">
        <x:v>4</x:v>
      </x:c>
      <x:c r="J19" s="139" t="str">
        <x:v>Yes</x:v>
      </x:c>
      <x:c r="K19" s="140" t="str">
        <x:v>Broad analysis feed; innovation-topic filter is applied.</x:v>
      </x:c>
      <x:c r="L19" s="142" t="str">
        <x:v>A</x:v>
      </x:c>
      <x:c r="M19" s="142" t="str">
        <x:v>Daily</x:v>
      </x:c>
      <x:c r="N19" s="143" t="str"/>
    </x:row>
    <x:row r="20" ht="36" customHeight="1">
      <x:c r="A20" s="139" t="str">
        <x:v>Yes</x:v>
      </x:c>
      <x:c r="B20" s="140" t="str">
        <x:v>United States</x:v>
      </x:c>
      <x:c r="C20" s="140" t="str">
        <x:v>United States</x:v>
      </x:c>
      <x:c r="D20" s="140" t="str">
        <x:v>Emerging technology policy</x:v>
      </x:c>
      <x:c r="E20" s="140" t="str">
        <x:v>CSET</x:v>
      </x:c>
      <x:c r="F20" s="140" t="str">
        <x:v>Center for Security and Emerging Technology</x:v>
      </x:c>
      <x:c r="G20" s="140" t="str">
        <x:v>https://cset.georgetown.edu/feed/</x:v>
      </x:c>
      <x:c r="H20" s="140" t="str">
        <x:v>https://cset.georgetown.edu/</x:v>
      </x:c>
      <x:c r="I20" s="141" t="n">
        <x:v>5</x:v>
      </x:c>
      <x:c r="J20" s="139" t="str">
        <x:v>Yes</x:v>
      </x:c>
      <x:c r="K20" s="140" t="str">
        <x:v>University-based emerging-technology policy center.</x:v>
      </x:c>
      <x:c r="L20" s="142" t="str">
        <x:v>S</x:v>
      </x:c>
      <x:c r="M20" s="142" t="str">
        <x:v>Daily</x:v>
      </x:c>
      <x:c r="N20" s="143" t="str"/>
    </x:row>
    <x:row r="21" ht="36" customHeight="1">
      <x:c r="A21" s="139" t="str">
        <x:v>Yes</x:v>
      </x:c>
      <x:c r="B21" s="140" t="str">
        <x:v>EU &amp; Europe</x:v>
      </x:c>
      <x:c r="C21" s="140" t="str">
        <x:v>Belgium</x:v>
      </x:c>
      <x:c r="D21" s="140" t="str">
        <x:v>Economic and innovation policy</x:v>
      </x:c>
      <x:c r="E21" s="140" t="str">
        <x:v>Bruegel</x:v>
      </x:c>
      <x:c r="F21" s="140" t="str">
        <x:v>Bruegel</x:v>
      </x:c>
      <x:c r="G21" s="140" t="str">
        <x:v>https://www.bruegel.org/analysis</x:v>
      </x:c>
      <x:c r="H21" s="140" t="str">
        <x:v>https://www.bruegel.org/analysis</x:v>
      </x:c>
      <x:c r="I21" s="141" t="n">
        <x:v>4</x:v>
      </x:c>
      <x:c r="J21" s="139" t="str">
        <x:v>No</x:v>
      </x:c>
      <x:c r="K21" s="140" t="str">
        <x:v>European economic-policy institute; scans the official analysis page.</x:v>
      </x:c>
      <x:c r="L21" s="142" t="str">
        <x:v>A</x:v>
      </x:c>
      <x:c r="M21" s="142" t="str">
        <x:v>Daily</x:v>
      </x:c>
      <x:c r="N21" s="143" t="str"/>
    </x:row>
    <x:row r="22" ht="36" customHeight="1">
      <x:c r="A22" s="139" t="str">
        <x:v>Yes</x:v>
      </x:c>
      <x:c r="B22" s="140" t="str">
        <x:v>Asia</x:v>
      </x:c>
      <x:c r="C22" s="140" t="str">
        <x:v>China / Germany</x:v>
      </x:c>
      <x:c r="D22" s="140" t="str">
        <x:v>China technology and industrial policy</x:v>
      </x:c>
      <x:c r="E22" s="140" t="str">
        <x:v>MERICS</x:v>
      </x:c>
      <x:c r="F22" s="140" t="str">
        <x:v>Mercator Institute for China Studies</x:v>
      </x:c>
      <x:c r="G22" s="140" t="str">
        <x:v>https://merics.org/en/research</x:v>
      </x:c>
      <x:c r="H22" s="140" t="str">
        <x:v>https://merics.org/en/research</x:v>
      </x:c>
      <x:c r="I22" s="141" t="n">
        <x:v>4</x:v>
      </x:c>
      <x:c r="J22" s="139" t="str">
        <x:v>No</x:v>
      </x:c>
      <x:c r="K22" s="140" t="str">
        <x:v>China-focused policy institute; scans the official research page.</x:v>
      </x:c>
      <x:c r="L22" s="142" t="str">
        <x:v>A</x:v>
      </x:c>
      <x:c r="M22" s="142" t="str">
        <x:v>Daily</x:v>
      </x:c>
      <x:c r="N22" s="143" t="str"/>
    </x:row>
    <x:row r="23" ht="36" customHeight="1">
      <x:c r="A23" s="139" t="str">
        <x:v>Yes</x:v>
      </x:c>
      <x:c r="B23" s="140" t="str">
        <x:v>United States</x:v>
      </x:c>
      <x:c r="C23" s="140" t="str">
        <x:v>United States</x:v>
      </x:c>
      <x:c r="D23" s="140" t="str">
        <x:v>Research policy and science</x:v>
      </x:c>
      <x:c r="E23" s="140" t="str">
        <x:v>National Science Foundation News</x:v>
      </x:c>
      <x:c r="F23" s="140" t="str">
        <x:v>U.S. National Science Foundation</x:v>
      </x:c>
      <x:c r="G23" s="140" t="str">
        <x:v>https://www.nsf.gov/rss/rss_www_news.xml</x:v>
      </x:c>
      <x:c r="H23" s="140" t="str">
        <x:v>https://www.nsf.gov/news</x:v>
      </x:c>
      <x:c r="I23" s="141" t="n">
        <x:v>5</x:v>
      </x:c>
      <x:c r="J23" s="139" t="str">
        <x:v>Yes</x:v>
      </x:c>
      <x:c r="K23" s="140" t="str">
        <x:v>Official U.S. government source.</x:v>
      </x:c>
      <x:c r="L23" s="142" t="str">
        <x:v>S</x:v>
      </x:c>
      <x:c r="M23" s="142" t="str">
        <x:v>Daily</x:v>
      </x:c>
      <x:c r="N23" s="143" t="str"/>
    </x:row>
    <x:row r="24" ht="36" customHeight="1">
      <x:c r="A24" s="139" t="str">
        <x:v>Yes</x:v>
      </x:c>
      <x:c r="B24" s="140" t="str">
        <x:v>United States</x:v>
      </x:c>
      <x:c r="C24" s="140" t="str">
        <x:v>United States</x:v>
      </x:c>
      <x:c r="D24" s="140" t="str">
        <x:v>Standards, science and industrial policy</x:v>
      </x:c>
      <x:c r="E24" s="140" t="str">
        <x:v>NIST News</x:v>
      </x:c>
      <x:c r="F24" s="140" t="str">
        <x:v>National Institute of Standards and Technology</x:v>
      </x:c>
      <x:c r="G24" s="140" t="str">
        <x:v>https://www.nist.gov/news-events/news/rss.xml</x:v>
      </x:c>
      <x:c r="H24" s="140" t="str">
        <x:v>https://www.nist.gov/news-events/news</x:v>
      </x:c>
      <x:c r="I24" s="141" t="n">
        <x:v>5</x:v>
      </x:c>
      <x:c r="J24" s="139" t="str">
        <x:v>Yes</x:v>
      </x:c>
      <x:c r="K24" s="140" t="str">
        <x:v>Official U.S. government source.</x:v>
      </x:c>
      <x:c r="L24" s="142" t="str">
        <x:v>S</x:v>
      </x:c>
      <x:c r="M24" s="142" t="str">
        <x:v>Daily</x:v>
      </x:c>
      <x:c r="N24" s="143" t="str"/>
    </x:row>
    <x:row r="25" ht="36" customHeight="1">
      <x:c r="A25" s="139" t="str">
        <x:v>Yes</x:v>
      </x:c>
      <x:c r="B25" s="140" t="str">
        <x:v>United States</x:v>
      </x:c>
      <x:c r="C25" s="140" t="str">
        <x:v>United States</x:v>
      </x:c>
      <x:c r="D25" s="140" t="str">
        <x:v>Biotechnology and healthcare</x:v>
      </x:c>
      <x:c r="E25" s="140" t="str">
        <x:v>NIH News Releases</x:v>
      </x:c>
      <x:c r="F25" s="140" t="str">
        <x:v>U.S. National Institutes of Health</x:v>
      </x:c>
      <x:c r="G25" s="140" t="str">
        <x:v>https://www.nih.gov/news-events/news-releases</x:v>
      </x:c>
      <x:c r="H25" s="140" t="str">
        <x:v>https://www.nih.gov/news-events/news-releases</x:v>
      </x:c>
      <x:c r="I25" s="141" t="n">
        <x:v>5</x:v>
      </x:c>
      <x:c r="J25" s="139" t="str">
        <x:v>No</x:v>
      </x:c>
      <x:c r="K25" s="140" t="str">
        <x:v>Official U.S. biomedical-research source; scans the official release listing.</x:v>
      </x:c>
      <x:c r="L25" s="142" t="str">
        <x:v>S</x:v>
      </x:c>
      <x:c r="M25" s="142" t="str">
        <x:v>Daily</x:v>
      </x:c>
      <x:c r="N25" s="143" t="str">
        <x:v>Biotechnology | Healthcare</x:v>
      </x:c>
    </x:row>
    <x:row r="26" ht="36" customHeight="1">
      <x:c r="A26" s="139" t="str">
        <x:v>Yes</x:v>
      </x:c>
      <x:c r="B26" s="140" t="str">
        <x:v>United States</x:v>
      </x:c>
      <x:c r="C26" s="140" t="str">
        <x:v>United States</x:v>
      </x:c>
      <x:c r="D26" s="140" t="str">
        <x:v>Energy, quantum and research policy</x:v>
      </x:c>
      <x:c r="E26" s="140" t="str">
        <x:v>DOE Office of Science News</x:v>
      </x:c>
      <x:c r="F26" s="140" t="str">
        <x:v>U.S. Department of Energy</x:v>
      </x:c>
      <x:c r="G26" s="140" t="str">
        <x:v>https://www.energy.gov/rss/science/3662436</x:v>
      </x:c>
      <x:c r="H26" s="140" t="str">
        <x:v>https://www.energy.gov/science/listings/office-science-news</x:v>
      </x:c>
      <x:c r="I26" s="141" t="n">
        <x:v>5</x:v>
      </x:c>
      <x:c r="J26" s="139" t="str">
        <x:v>Yes</x:v>
      </x:c>
      <x:c r="K26" s="140" t="str">
        <x:v>Official U.S. government source; includes fusion and quantum policy.</x:v>
      </x:c>
      <x:c r="L26" s="142" t="str">
        <x:v>S</x:v>
      </x:c>
      <x:c r="M26" s="142" t="str">
        <x:v>Daily</x:v>
      </x:c>
      <x:c r="N26" s="143" t="str">
        <x:v>Quantum</x:v>
      </x:c>
    </x:row>
    <x:row r="27" ht="36" customHeight="1">
      <x:c r="A27" s="139" t="str">
        <x:v>Yes</x:v>
      </x:c>
      <x:c r="B27" s="140" t="str">
        <x:v>EU &amp; Europe</x:v>
      </x:c>
      <x:c r="C27" s="140" t="str">
        <x:v>European Union</x:v>
      </x:c>
      <x:c r="D27" s="140" t="str">
        <x:v>EU research and innovation policy</x:v>
      </x:c>
      <x:c r="E27" s="140" t="str">
        <x:v>European Commission Research &amp; Innovation</x:v>
      </x:c>
      <x:c r="F27" s="140" t="str">
        <x:v>European Commission Directorate-General for Research and Innovation</x:v>
      </x:c>
      <x:c r="G27" s="140" t="str">
        <x:v>https://research-and-innovation.ec.europa.eu/news/all-research-and-innovation-news_en</x:v>
      </x:c>
      <x:c r="H27" s="140" t="str">
        <x:v>https://research-and-innovation.ec.europa.eu/news/all-research-and-innovation-news_en</x:v>
      </x:c>
      <x:c r="I27" s="141" t="n">
        <x:v>5</x:v>
      </x:c>
      <x:c r="J27" s="139" t="str">
        <x:v>No</x:v>
      </x:c>
      <x:c r="K27" s="140" t="str">
        <x:v>Official European Commission research-and-innovation news listing.</x:v>
      </x:c>
      <x:c r="L27" s="142" t="str">
        <x:v>S</x:v>
      </x:c>
      <x:c r="M27" s="142" t="str">
        <x:v>Daily</x:v>
      </x:c>
      <x:c r="N27" s="143" t="str"/>
    </x:row>
    <x:row r="28" ht="36" customHeight="1">
      <x:c r="A28" s="139" t="str">
        <x:v>Yes</x:v>
      </x:c>
      <x:c r="B28" s="140" t="str">
        <x:v>EU &amp; Europe</x:v>
      </x:c>
      <x:c r="C28" s="140" t="str">
        <x:v>United Kingdom</x:v>
      </x:c>
      <x:c r="D28" s="140" t="str">
        <x:v>Science and innovation policy</x:v>
      </x:c>
      <x:c r="E28" s="140" t="str">
        <x:v>UK DSIT</x:v>
      </x:c>
      <x:c r="F28" s="140" t="str">
        <x:v>Department for Science, Innovation and Technology</x:v>
      </x:c>
      <x:c r="G28" s="140" t="str">
        <x:v>https://www.gov.uk/government/organisations/department-for-science-innovation-and-technology.atom</x:v>
      </x:c>
      <x:c r="H28" s="140" t="str">
        <x:v>https://www.gov.uk/government/organisations/department-for-science-innovation-and-technology</x:v>
      </x:c>
      <x:c r="I28" s="141" t="n">
        <x:v>5</x:v>
      </x:c>
      <x:c r="J28" s="139" t="str">
        <x:v>Yes</x:v>
      </x:c>
      <x:c r="K28" s="140" t="str">
        <x:v>Official UK government Atom feed.</x:v>
      </x:c>
      <x:c r="L28" s="142" t="str">
        <x:v>S</x:v>
      </x:c>
      <x:c r="M28" s="142" t="str">
        <x:v>Daily</x:v>
      </x:c>
      <x:c r="N28" s="143" t="str"/>
    </x:row>
    <x:row r="29" ht="36" customHeight="1">
      <x:c r="A29" s="139" t="str">
        <x:v>Yes</x:v>
      </x:c>
      <x:c r="B29" s="140" t="str">
        <x:v>Asia</x:v>
      </x:c>
      <x:c r="C29" s="140" t="str">
        <x:v>Japan</x:v>
      </x:c>
      <x:c r="D29" s="140" t="str">
        <x:v>Industrial and innovation policy</x:v>
      </x:c>
      <x:c r="E29" s="140" t="str">
        <x:v>METI Press Releases</x:v>
      </x:c>
      <x:c r="F29" s="140" t="str">
        <x:v>Ministry of Economy, Trade and Industry</x:v>
      </x:c>
      <x:c r="G29" s="140" t="str">
        <x:v>https://www.meti.go.jp/english/press/index.html</x:v>
      </x:c>
      <x:c r="H29" s="140" t="str">
        <x:v>https://www.meti.go.jp/english/press/index.html</x:v>
      </x:c>
      <x:c r="I29" s="141" t="n">
        <x:v>5</x:v>
      </x:c>
      <x:c r="J29" s="139" t="str">
        <x:v>No</x:v>
      </x:c>
      <x:c r="K29" s="140" t="str">
        <x:v>Official Japanese government English-language release listing.</x:v>
      </x:c>
      <x:c r="L29" s="142" t="str">
        <x:v>S</x:v>
      </x:c>
      <x:c r="M29" s="142" t="str">
        <x:v>Daily</x:v>
      </x:c>
      <x:c r="N29" s="143" t="str"/>
    </x:row>
    <x:row r="30" ht="36" customHeight="1">
      <x:c r="A30" s="139" t="str">
        <x:v>Yes</x:v>
      </x:c>
      <x:c r="B30" s="140" t="str">
        <x:v>Global</x:v>
      </x:c>
      <x:c r="C30" s="140" t="str">
        <x:v>Global</x:v>
      </x:c>
      <x:c r="D30" s="140" t="str">
        <x:v>Healthcare policy</x:v>
      </x:c>
      <x:c r="E30" s="140" t="str">
        <x:v>WHO News</x:v>
      </x:c>
      <x:c r="F30" s="140" t="str">
        <x:v>World Health Organization</x:v>
      </x:c>
      <x:c r="G30" s="140" t="str">
        <x:v>https://www.who.int/rss-feeds/news-english.xml</x:v>
      </x:c>
      <x:c r="H30" s="140" t="str">
        <x:v>https://www.who.int/news</x:v>
      </x:c>
      <x:c r="I30" s="141" t="n">
        <x:v>4</x:v>
      </x:c>
      <x:c r="J30" s="139" t="str">
        <x:v>Yes</x:v>
      </x:c>
      <x:c r="K30" s="140" t="str">
        <x:v>Official international public-health source.</x:v>
      </x:c>
      <x:c r="L30" s="142" t="str">
        <x:v>A</x:v>
      </x:c>
      <x:c r="M30" s="142" t="str">
        <x:v>Daily</x:v>
      </x:c>
      <x:c r="N30" s="143" t="str">
        <x:v>Healthcare</x:v>
      </x:c>
    </x:row>
    <x:row r="31" ht="36" customHeight="1">
      <x:c r="A31" s="139" t="str">
        <x:v>Yes</x:v>
      </x:c>
      <x:c r="B31" s="140" t="str">
        <x:v>Global</x:v>
      </x:c>
      <x:c r="C31" s="140" t="str">
        <x:v>Global</x:v>
      </x:c>
      <x:c r="D31" s="140" t="str">
        <x:v>Energy technology and policy</x:v>
      </x:c>
      <x:c r="E31" s="140" t="str">
        <x:v>IEA News</x:v>
      </x:c>
      <x:c r="F31" s="140" t="str">
        <x:v>International Energy Agency</x:v>
      </x:c>
      <x:c r="G31" s="140" t="str">
        <x:v>https://www.iea.org/news</x:v>
      </x:c>
      <x:c r="H31" s="140" t="str">
        <x:v>https://www.iea.org/news</x:v>
      </x:c>
      <x:c r="I31" s="141" t="n">
        <x:v>4</x:v>
      </x:c>
      <x:c r="J31" s="139" t="str">
        <x:v>No</x:v>
      </x:c>
      <x:c r="K31" s="140" t="str">
        <x:v>Official international energy-policy source; scans the official news page.</x:v>
      </x:c>
      <x:c r="L31" s="142" t="str">
        <x:v>A</x:v>
      </x:c>
      <x:c r="M31" s="142" t="str">
        <x:v>Daily</x:v>
      </x:c>
      <x:c r="N31" s="143" t="str"/>
    </x:row>
    <x:row r="32" ht="36" customHeight="1">
      <x:c r="A32" s="139" t="str">
        <x:v>Yes</x:v>
      </x:c>
      <x:c r="B32" s="140" t="str">
        <x:v>Global</x:v>
      </x:c>
      <x:c r="C32" s="140" t="str">
        <x:v>Global</x:v>
      </x:c>
      <x:c r="D32" s="140" t="str">
        <x:v>Economic, science and innovation policy</x:v>
      </x:c>
      <x:c r="E32" s="140" t="str">
        <x:v>OECD Newsroom</x:v>
      </x:c>
      <x:c r="F32" s="140" t="str">
        <x:v>OECD</x:v>
      </x:c>
      <x:c r="G32" s="140" t="str">
        <x:v>https://www.oecd.org/en/about/newsroom.html</x:v>
      </x:c>
      <x:c r="H32" s="140" t="str">
        <x:v>https://www.oecd.org/en/about/newsroom.html</x:v>
      </x:c>
      <x:c r="I32" s="141" t="n">
        <x:v>4</x:v>
      </x:c>
      <x:c r="J32" s="139" t="str">
        <x:v>No</x:v>
      </x:c>
      <x:c r="K32" s="140" t="str">
        <x:v>Official OECD source; scans the official news page.</x:v>
      </x:c>
      <x:c r="L32" s="142" t="str">
        <x:v>A</x:v>
      </x:c>
      <x:c r="M32" s="142" t="str">
        <x:v>Daily</x:v>
      </x:c>
      <x:c r="N32" s="143" t="str"/>
    </x:row>
    <x:row r="33" ht="36" customHeight="1">
      <x:c r="A33" s="139" t="str">
        <x:v>Yes</x:v>
      </x:c>
      <x:c r="B33" s="140" t="str">
        <x:v>Global</x:v>
      </x:c>
      <x:c r="C33" s="140" t="str">
        <x:v>United States</x:v>
      </x:c>
      <x:c r="D33" s="140" t="str">
        <x:v>Artificial intelligence</x:v>
      </x:c>
      <x:c r="E33" s="140" t="str">
        <x:v>OpenAI News</x:v>
      </x:c>
      <x:c r="F33" s="140" t="str">
        <x:v>OpenAI</x:v>
      </x:c>
      <x:c r="G33" s="140" t="str">
        <x:v>https://openai.com/news/rss.xml</x:v>
      </x:c>
      <x:c r="H33" s="140" t="str">
        <x:v>https://openai.com/news/</x:v>
      </x:c>
      <x:c r="I33" s="141" t="n">
        <x:v>5</x:v>
      </x:c>
      <x:c r="J33" s="139" t="str">
        <x:v>Yes</x:v>
      </x:c>
      <x:c r="K33" s="140" t="str">
        <x:v>Official company newsroom.</x:v>
      </x:c>
      <x:c r="L33" s="142" t="str">
        <x:v>S</x:v>
      </x:c>
      <x:c r="M33" s="142" t="str">
        <x:v>Daily</x:v>
      </x:c>
      <x:c r="N33" s="143" t="str">
        <x:v>Artificial Intelligence</x:v>
      </x:c>
    </x:row>
    <x:row r="34" ht="36" customHeight="1">
      <x:c r="A34" s="139" t="str">
        <x:v>Yes</x:v>
      </x:c>
      <x:c r="B34" s="140" t="str">
        <x:v>Global</x:v>
      </x:c>
      <x:c r="C34" s="140" t="str">
        <x:v>United States</x:v>
      </x:c>
      <x:c r="D34" s="140" t="str">
        <x:v>Artificial intelligence</x:v>
      </x:c>
      <x:c r="E34" s="140" t="str">
        <x:v>Google AI</x:v>
      </x:c>
      <x:c r="F34" s="140" t="str">
        <x:v>Google</x:v>
      </x:c>
      <x:c r="G34" s="140" t="str">
        <x:v>https://blog.google/technology/ai/rss/</x:v>
      </x:c>
      <x:c r="H34" s="140" t="str">
        <x:v>https://blog.google/technology/ai/</x:v>
      </x:c>
      <x:c r="I34" s="141" t="n">
        <x:v>4</x:v>
      </x:c>
      <x:c r="J34" s="139" t="str">
        <x:v>Yes</x:v>
      </x:c>
      <x:c r="K34" s="140" t="str">
        <x:v>Official company publication.</x:v>
      </x:c>
      <x:c r="L34" s="142" t="str">
        <x:v>A</x:v>
      </x:c>
      <x:c r="M34" s="142" t="str">
        <x:v>Daily</x:v>
      </x:c>
      <x:c r="N34" s="143" t="str">
        <x:v>Artificial Intelligence</x:v>
      </x:c>
    </x:row>
    <x:row r="35" ht="36" customHeight="1">
      <x:c r="A35" s="139" t="str">
        <x:v>Yes</x:v>
      </x:c>
      <x:c r="B35" s="140" t="str">
        <x:v>Global</x:v>
      </x:c>
      <x:c r="C35" s="140" t="str">
        <x:v>United States</x:v>
      </x:c>
      <x:c r="D35" s="140" t="str">
        <x:v>AI and semiconductors</x:v>
      </x:c>
      <x:c r="E35" s="140" t="str">
        <x:v>NVIDIA Blog</x:v>
      </x:c>
      <x:c r="F35" s="140" t="str">
        <x:v>NVIDIA</x:v>
      </x:c>
      <x:c r="G35" s="140" t="str">
        <x:v>https://blogs.nvidia.com/feed/</x:v>
      </x:c>
      <x:c r="H35" s="140" t="str">
        <x:v>https://blogs.nvidia.com/</x:v>
      </x:c>
      <x:c r="I35" s="141" t="n">
        <x:v>4</x:v>
      </x:c>
      <x:c r="J35" s="139" t="str">
        <x:v>Yes</x:v>
      </x:c>
      <x:c r="K35" s="140" t="str">
        <x:v>Official company publication.</x:v>
      </x:c>
      <x:c r="L35" s="142" t="str">
        <x:v>A</x:v>
      </x:c>
      <x:c r="M35" s="142" t="str">
        <x:v>Daily</x:v>
      </x:c>
      <x:c r="N35" s="143" t="str">
        <x:v>Artificial Intelligence | Semiconductors &amp; Telecom</x:v>
      </x:c>
    </x:row>
    <x:row r="36" ht="36" customHeight="1">
      <x:c r="A36" s="139" t="str">
        <x:v>Yes</x:v>
      </x:c>
      <x:c r="B36" s="140" t="str">
        <x:v>Global</x:v>
      </x:c>
      <x:c r="C36" s="140" t="str">
        <x:v>United States</x:v>
      </x:c>
      <x:c r="D36" s="140" t="str">
        <x:v>Semiconductors</x:v>
      </x:c>
      <x:c r="E36" s="140" t="str">
        <x:v>Intel Newsroom</x:v>
      </x:c>
      <x:c r="F36" s="140" t="str">
        <x:v>Intel</x:v>
      </x:c>
      <x:c r="G36" s="140" t="str">
        <x:v>https://newsroom.intel.com/feed</x:v>
      </x:c>
      <x:c r="H36" s="140" t="str">
        <x:v>https://newsroom.intel.com/</x:v>
      </x:c>
      <x:c r="I36" s="141" t="n">
        <x:v>4</x:v>
      </x:c>
      <x:c r="J36" s="139" t="str">
        <x:v>Yes</x:v>
      </x:c>
      <x:c r="K36" s="140" t="str">
        <x:v>Official company newsroom.</x:v>
      </x:c>
      <x:c r="L36" s="142" t="str">
        <x:v>A</x:v>
      </x:c>
      <x:c r="M36" s="142" t="str">
        <x:v>Daily</x:v>
      </x:c>
      <x:c r="N36" s="143" t="str">
        <x:v>Semiconductors &amp; Telecom</x:v>
      </x:c>
    </x:row>
    <x:row r="37" ht="36" customHeight="1">
      <x:c r="A37" s="139" t="str">
        <x:v>Yes</x:v>
      </x:c>
      <x:c r="B37" s="140" t="str">
        <x:v>Global</x:v>
      </x:c>
      <x:c r="C37" s="140" t="str">
        <x:v>United States</x:v>
      </x:c>
      <x:c r="D37" s="140" t="str">
        <x:v>AI and quantum</x:v>
      </x:c>
      <x:c r="E37" s="140" t="str">
        <x:v>IBM Research</x:v>
      </x:c>
      <x:c r="F37" s="140" t="str">
        <x:v>IBM</x:v>
      </x:c>
      <x:c r="G37" s="140" t="str">
        <x:v>https://research.ibm.com/blog</x:v>
      </x:c>
      <x:c r="H37" s="140" t="str">
        <x:v>https://research.ibm.com/blog</x:v>
      </x:c>
      <x:c r="I37" s="141" t="n">
        <x:v>4</x:v>
      </x:c>
      <x:c r="J37" s="139" t="str">
        <x:v>No</x:v>
      </x:c>
      <x:c r="K37" s="140" t="str">
        <x:v>Official corporate research publication; scans the official blog listing.</x:v>
      </x:c>
      <x:c r="L37" s="142" t="str">
        <x:v>A</x:v>
      </x:c>
      <x:c r="M37" s="142" t="str">
        <x:v>Daily</x:v>
      </x:c>
      <x:c r="N37" s="143" t="str">
        <x:v>Artificial Intelligence | Quantum</x:v>
      </x:c>
    </x:row>
    <x:row r="38" ht="36" customHeight="1">
      <x:c r="A38" s="139" t="str">
        <x:v>Yes</x:v>
      </x:c>
      <x:c r="B38" s="140" t="str">
        <x:v>Global</x:v>
      </x:c>
      <x:c r="C38" s="140" t="str">
        <x:v>United States</x:v>
      </x:c>
      <x:c r="D38" s="140" t="str">
        <x:v>AI, quantum and computing</x:v>
      </x:c>
      <x:c r="E38" s="140" t="str">
        <x:v>Microsoft Research</x:v>
      </x:c>
      <x:c r="F38" s="140" t="str">
        <x:v>Microsoft</x:v>
      </x:c>
      <x:c r="G38" s="140" t="str">
        <x:v>https://www.microsoft.com/en-us/research/feed/</x:v>
      </x:c>
      <x:c r="H38" s="140" t="str">
        <x:v>https://www.microsoft.com/en-us/research/blog/</x:v>
      </x:c>
      <x:c r="I38" s="141" t="n">
        <x:v>4</x:v>
      </x:c>
      <x:c r="J38" s="139" t="str">
        <x:v>Yes</x:v>
      </x:c>
      <x:c r="K38" s="140" t="str">
        <x:v>Official corporate research publication.</x:v>
      </x:c>
      <x:c r="L38" s="142" t="str">
        <x:v>A</x:v>
      </x:c>
      <x:c r="M38" s="142" t="str">
        <x:v>Daily</x:v>
      </x:c>
      <x:c r="N38" s="143" t="str">
        <x:v>Artificial Intelligence | Quantum</x:v>
      </x:c>
    </x:row>
    <x:row r="39" ht="36" customHeight="1">
      <x:c r="A39" s="139" t="str">
        <x:v>Yes</x:v>
      </x:c>
      <x:c r="B39" s="140" t="str">
        <x:v>Asia</x:v>
      </x:c>
      <x:c r="C39" s="140" t="str">
        <x:v>South Korea</x:v>
      </x:c>
      <x:c r="D39" s="140" t="str">
        <x:v>Semiconductors, AI and telecom</x:v>
      </x:c>
      <x:c r="E39" s="140" t="str">
        <x:v>Samsung Global Newsroom</x:v>
      </x:c>
      <x:c r="F39" s="140" t="str">
        <x:v>Samsung Electronics</x:v>
      </x:c>
      <x:c r="G39" s="140" t="str">
        <x:v>https://news.samsung.com/global/feed</x:v>
      </x:c>
      <x:c r="H39" s="140" t="str">
        <x:v>https://news.samsung.com/global/</x:v>
      </x:c>
      <x:c r="I39" s="141" t="n">
        <x:v>4</x:v>
      </x:c>
      <x:c r="J39" s="139" t="str">
        <x:v>Yes</x:v>
      </x:c>
      <x:c r="K39" s="140" t="str">
        <x:v>Official company newsroom.</x:v>
      </x:c>
      <x:c r="L39" s="142" t="str">
        <x:v>A</x:v>
      </x:c>
      <x:c r="M39" s="142" t="str">
        <x:v>Daily</x:v>
      </x:c>
      <x:c r="N39" s="143" t="str">
        <x:v>Artificial Intelligence | Semiconductors &amp; Telecom</x:v>
      </x:c>
    </x:row>
    <x:row r="40" ht="36" customHeight="1">
      <x:c r="A40" s="139" t="str">
        <x:v>Yes</x:v>
      </x:c>
      <x:c r="B40" s="140" t="str">
        <x:v>United States</x:v>
      </x:c>
      <x:c r="C40" s="140" t="str">
        <x:v>United States</x:v>
      </x:c>
      <x:c r="D40" s="140" t="str">
        <x:v>Artificial intelligence research, models and AI safety</x:v>
      </x:c>
      <x:c r="E40" s="140" t="str">
        <x:v>Anthropic News</x:v>
      </x:c>
      <x:c r="F40" s="140" t="str">
        <x:v>Anthropic</x:v>
      </x:c>
      <x:c r="G40" s="140" t="str">
        <x:v>https://www.anthropic.com/news</x:v>
      </x:c>
      <x:c r="H40" s="140" t="str">
        <x:v>https://www.anthropic.com/news</x:v>
      </x:c>
      <x:c r="I40" s="141" t="n">
        <x:v>5</x:v>
      </x:c>
      <x:c r="J40" s="139" t="str">
        <x:v>No</x:v>
      </x:c>
      <x:c r="K40" s="140" t="str">
        <x:v>Official company newsroom for AI research, model and safety developments.</x:v>
      </x:c>
      <x:c r="L40" s="142" t="str">
        <x:v>S</x:v>
      </x:c>
      <x:c r="M40" s="142" t="str">
        <x:v>Daily</x:v>
      </x:c>
      <x:c r="N40" s="143" t="str">
        <x:v>Artificial Intelligence</x:v>
      </x:c>
    </x:row>
    <x:row r="41" ht="36" customHeight="1">
      <x:c r="A41" s="139" t="str">
        <x:v>Yes</x:v>
      </x:c>
      <x:c r="B41" s="140" t="str">
        <x:v>Global</x:v>
      </x:c>
      <x:c r="C41" s="140" t="str">
        <x:v>United Kingdom / United States</x:v>
      </x:c>
      <x:c r="D41" s="140" t="str">
        <x:v>Artificial intelligence, robotics, biotechnology and scientific discovery</x:v>
      </x:c>
      <x:c r="E41" s="140" t="str">
        <x:v>Google DeepMind Blog</x:v>
      </x:c>
      <x:c r="F41" s="140" t="str">
        <x:v>Google DeepMind</x:v>
      </x:c>
      <x:c r="G41" s="140" t="str">
        <x:v>https://deepmind.google/discover/blog/</x:v>
      </x:c>
      <x:c r="H41" s="140" t="str">
        <x:v>https://deepmind.google/discover/blog/</x:v>
      </x:c>
      <x:c r="I41" s="141" t="n">
        <x:v>5</x:v>
      </x:c>
      <x:c r="J41" s="139" t="str">
        <x:v>No</x:v>
      </x:c>
      <x:c r="K41" s="140" t="str">
        <x:v>Official corporate research publication.</x:v>
      </x:c>
      <x:c r="L41" s="142" t="str">
        <x:v>S</x:v>
      </x:c>
      <x:c r="M41" s="142" t="str">
        <x:v>Daily</x:v>
      </x:c>
      <x:c r="N41" s="143" t="str">
        <x:v>Artificial Intelligence | Robotics | Biotechnology</x:v>
      </x:c>
    </x:row>
    <x:row r="42" ht="36" customHeight="1">
      <x:c r="A42" s="139" t="str">
        <x:v>Yes</x:v>
      </x:c>
      <x:c r="B42" s="140" t="str">
        <x:v>Global</x:v>
      </x:c>
      <x:c r="C42" s="140" t="str">
        <x:v>United States</x:v>
      </x:c>
      <x:c r="D42" s="140" t="str">
        <x:v>Artificial intelligence research, open models and AI infrastructure</x:v>
      </x:c>
      <x:c r="E42" s="140" t="str">
        <x:v>Meta AI Blog</x:v>
      </x:c>
      <x:c r="F42" s="140" t="str">
        <x:v>Meta</x:v>
      </x:c>
      <x:c r="G42" s="140" t="str">
        <x:v>https://ai.meta.com/blog/</x:v>
      </x:c>
      <x:c r="H42" s="140" t="str">
        <x:v>https://ai.meta.com/blog/</x:v>
      </x:c>
      <x:c r="I42" s="141" t="n">
        <x:v>5</x:v>
      </x:c>
      <x:c r="J42" s="139" t="str">
        <x:v>No</x:v>
      </x:c>
      <x:c r="K42" s="140" t="str">
        <x:v>Official Meta AI research and engineering publication.</x:v>
      </x:c>
      <x:c r="L42" s="142" t="str">
        <x:v>S</x:v>
      </x:c>
      <x:c r="M42" s="142" t="str">
        <x:v>Daily</x:v>
      </x:c>
      <x:c r="N42" s="143" t="str">
        <x:v>Artificial Intelligence</x:v>
      </x:c>
    </x:row>
    <x:row r="43" ht="36" customHeight="1">
      <x:c r="A43" s="139" t="str">
        <x:v>Yes</x:v>
      </x:c>
      <x:c r="B43" s="140" t="str">
        <x:v>Global</x:v>
      </x:c>
      <x:c r="C43" s="140" t="str">
        <x:v>United States</x:v>
      </x:c>
      <x:c r="D43" s="140" t="str">
        <x:v>Artificial intelligence, robotics, quantum and computing research</x:v>
      </x:c>
      <x:c r="E43" s="140" t="str">
        <x:v>Amazon Science</x:v>
      </x:c>
      <x:c r="F43" s="140" t="str">
        <x:v>Amazon</x:v>
      </x:c>
      <x:c r="G43" s="140" t="str">
        <x:v>https://www.amazon.science/latest-news</x:v>
      </x:c>
      <x:c r="H43" s="140" t="str">
        <x:v>https://www.amazon.science/latest-news</x:v>
      </x:c>
      <x:c r="I43" s="141" t="n">
        <x:v>4</x:v>
      </x:c>
      <x:c r="J43" s="139" t="str">
        <x:v>No</x:v>
      </x:c>
      <x:c r="K43" s="140" t="str">
        <x:v>Official corporate research publication.</x:v>
      </x:c>
      <x:c r="L43" s="142" t="str">
        <x:v>A</x:v>
      </x:c>
      <x:c r="M43" s="142" t="str">
        <x:v>Daily</x:v>
      </x:c>
      <x:c r="N43" s="143" t="str">
        <x:v>Artificial Intelligence | Robotics | Quantum</x:v>
      </x:c>
    </x:row>
    <x:row r="44" ht="36" customHeight="1">
      <x:c r="A44" s="139" t="str">
        <x:v>Yes</x:v>
      </x:c>
      <x:c r="B44" s="140" t="str">
        <x:v>EU &amp; Europe</x:v>
      </x:c>
      <x:c r="C44" s="140" t="str">
        <x:v>France</x:v>
      </x:c>
      <x:c r="D44" s="140" t="str">
        <x:v>Artificial intelligence models, infrastructure and applied research</x:v>
      </x:c>
      <x:c r="E44" s="140" t="str">
        <x:v>Mistral AI News</x:v>
      </x:c>
      <x:c r="F44" s="140" t="str">
        <x:v>Mistral AI</x:v>
      </x:c>
      <x:c r="G44" s="140" t="str">
        <x:v>https://mistral.ai/news</x:v>
      </x:c>
      <x:c r="H44" s="140" t="str">
        <x:v>https://mistral.ai/</x:v>
      </x:c>
      <x:c r="I44" s="141" t="n">
        <x:v>4</x:v>
      </x:c>
      <x:c r="J44" s="139" t="str">
        <x:v>No</x:v>
      </x:c>
      <x:c r="K44" s="140" t="str">
        <x:v>Official European AI company publication.</x:v>
      </x:c>
      <x:c r="L44" s="142" t="str">
        <x:v>A</x:v>
      </x:c>
      <x:c r="M44" s="142" t="str">
        <x:v>Daily</x:v>
      </x:c>
      <x:c r="N44" s="143" t="str">
        <x:v>Artificial Intelligence</x:v>
      </x:c>
    </x:row>
    <x:row r="45" ht="36" customHeight="1">
      <x:c r="A45" s="139" t="str">
        <x:v>Yes</x:v>
      </x:c>
      <x:c r="B45" s="140" t="str">
        <x:v>United States</x:v>
      </x:c>
      <x:c r="C45" s="140" t="str">
        <x:v>United States</x:v>
      </x:c>
      <x:c r="D45" s="140" t="str">
        <x:v>Robotics, autonomous systems and physical AI</x:v>
      </x:c>
      <x:c r="E45" s="140" t="str">
        <x:v>Boston Dynamics Blog</x:v>
      </x:c>
      <x:c r="F45" s="140" t="str">
        <x:v>Boston Dynamics</x:v>
      </x:c>
      <x:c r="G45" s="140" t="str">
        <x:v>https://bostondynamics.com/blog/</x:v>
      </x:c>
      <x:c r="H45" s="140" t="str">
        <x:v>https://bostondynamics.com/blog/</x:v>
      </x:c>
      <x:c r="I45" s="141" t="n">
        <x:v>4</x:v>
      </x:c>
      <x:c r="J45" s="139" t="str">
        <x:v>No</x:v>
      </x:c>
      <x:c r="K45" s="140" t="str">
        <x:v>Official robotics engineering publication.</x:v>
      </x:c>
      <x:c r="L45" s="142" t="str">
        <x:v>A</x:v>
      </x:c>
      <x:c r="M45" s="142" t="str">
        <x:v>Daily</x:v>
      </x:c>
      <x:c r="N45" s="143" t="str">
        <x:v>Artificial Intelligence | Robotics</x:v>
      </x:c>
    </x:row>
    <x:row r="46" ht="36" customHeight="1">
      <x:c r="A46" s="139" t="str">
        <x:v>Yes</x:v>
      </x:c>
      <x:c r="B46" s="140" t="str">
        <x:v>Global</x:v>
      </x:c>
      <x:c r="C46" s="140" t="str">
        <x:v>Japan / United States</x:v>
      </x:c>
      <x:c r="D46" s="140" t="str">
        <x:v>Robotics, autonomous systems, AI and materials research</x:v>
      </x:c>
      <x:c r="E46" s="140" t="str">
        <x:v>Toyota Research Institute News</x:v>
      </x:c>
      <x:c r="F46" s="140" t="str">
        <x:v>Toyota Research Institute</x:v>
      </x:c>
      <x:c r="G46" s="140" t="str">
        <x:v>https://www.tri.global/news</x:v>
      </x:c>
      <x:c r="H46" s="140" t="str">
        <x:v>https://www.tri.global/news</x:v>
      </x:c>
      <x:c r="I46" s="141" t="n">
        <x:v>4</x:v>
      </x:c>
      <x:c r="J46" s="139" t="str">
        <x:v>No</x:v>
      </x:c>
      <x:c r="K46" s="140" t="str">
        <x:v>Official Toyota research and development publication.</x:v>
      </x:c>
      <x:c r="L46" s="142" t="str">
        <x:v>A</x:v>
      </x:c>
      <x:c r="M46" s="142" t="str">
        <x:v>Daily</x:v>
      </x:c>
      <x:c r="N46" s="143" t="str">
        <x:v>Artificial Intelligence | Robotics</x:v>
      </x:c>
    </x:row>
    <x:row r="47" ht="36" customHeight="1">
      <x:c r="A47" s="139" t="str">
        <x:v>Yes</x:v>
      </x:c>
      <x:c r="B47" s="140" t="str">
        <x:v>EU &amp; Europe</x:v>
      </x:c>
      <x:c r="C47" s="140" t="str">
        <x:v>Switzerland</x:v>
      </x:c>
      <x:c r="D47" s="140" t="str">
        <x:v>Industrial robotics, automation and physical AI</x:v>
      </x:c>
      <x:c r="E47" s="140" t="str">
        <x:v>ABB Robotics News</x:v>
      </x:c>
      <x:c r="F47" s="140" t="str">
        <x:v>ABB Robotics</x:v>
      </x:c>
      <x:c r="G47" s="140" t="str">
        <x:v>https://new.abb.com/news</x:v>
      </x:c>
      <x:c r="H47" s="140" t="str">
        <x:v>https://new.abb.com/products/robotics</x:v>
      </x:c>
      <x:c r="I47" s="141" t="n">
        <x:v>4</x:v>
      </x:c>
      <x:c r="J47" s="139" t="str">
        <x:v>No</x:v>
      </x:c>
      <x:c r="K47" s="140" t="str">
        <x:v>Official ABB releases; the technology filter retains robotics and automation R&amp;D.</x:v>
      </x:c>
      <x:c r="L47" s="142" t="str">
        <x:v>A</x:v>
      </x:c>
      <x:c r="M47" s="142" t="str">
        <x:v>Daily</x:v>
      </x:c>
      <x:c r="N47" s="143" t="str">
        <x:v>Artificial Intelligence | Robotics</x:v>
      </x:c>
    </x:row>
    <x:row r="48" ht="36" customHeight="1">
      <x:c r="A48" s="139" t="str">
        <x:v>Yes</x:v>
      </x:c>
      <x:c r="B48" s="140" t="str">
        <x:v>Global</x:v>
      </x:c>
      <x:c r="C48" s="140" t="str">
        <x:v>Japan</x:v>
      </x:c>
      <x:c r="D48" s="140" t="str">
        <x:v>Industrial robotics, CNC, automation and physical AI</x:v>
      </x:c>
      <x:c r="E48" s="140" t="str">
        <x:v>FANUC America Press Releases</x:v>
      </x:c>
      <x:c r="F48" s="140" t="str">
        <x:v>FANUC</x:v>
      </x:c>
      <x:c r="G48" s="140" t="str">
        <x:v>https://www.fanucamerica.com/press-releases</x:v>
      </x:c>
      <x:c r="H48" s="140" t="str">
        <x:v>https://www.fanuc.co.jp/eindex.html</x:v>
      </x:c>
      <x:c r="I48" s="141" t="n">
        <x:v>4</x:v>
      </x:c>
      <x:c r="J48" s="139" t="str">
        <x:v>No</x:v>
      </x:c>
      <x:c r="K48" s="140" t="str">
        <x:v>Official FANUC robotics and factory-automation releases.</x:v>
      </x:c>
      <x:c r="L48" s="142" t="str">
        <x:v>A</x:v>
      </x:c>
      <x:c r="M48" s="142" t="str">
        <x:v>Daily</x:v>
      </x:c>
      <x:c r="N48" s="143" t="str">
        <x:v>Artificial Intelligence | Robotics</x:v>
      </x:c>
    </x:row>
    <x:row r="49" ht="36" customHeight="1">
      <x:c r="A49" s="139" t="str">
        <x:v>Yes</x:v>
      </x:c>
      <x:c r="B49" s="140" t="str">
        <x:v>Asia</x:v>
      </x:c>
      <x:c r="C49" s="140" t="str">
        <x:v>Taiwan</x:v>
      </x:c>
      <x:c r="D49" s="140" t="str">
        <x:v>Semiconductor process technology, manufacturing and advanced packaging</x:v>
      </x:c>
      <x:c r="E49" s="140" t="str">
        <x:v>TSMC News</x:v>
      </x:c>
      <x:c r="F49" s="140" t="str">
        <x:v>TSMC</x:v>
      </x:c>
      <x:c r="G49" s="140" t="str">
        <x:v>https://pr.tsmc.com/english/latest-news</x:v>
      </x:c>
      <x:c r="H49" s="140" t="str">
        <x:v>https://pr.tsmc.com/english</x:v>
      </x:c>
      <x:c r="I49" s="141" t="n">
        <x:v>5</x:v>
      </x:c>
      <x:c r="J49" s="139" t="str">
        <x:v>No</x:v>
      </x:c>
      <x:c r="K49" s="140" t="str">
        <x:v>Official semiconductor foundry newsroom.</x:v>
      </x:c>
      <x:c r="L49" s="142" t="str">
        <x:v>S</x:v>
      </x:c>
      <x:c r="M49" s="142" t="str">
        <x:v>Daily</x:v>
      </x:c>
      <x:c r="N49" s="143" t="str">
        <x:v>Semiconductors &amp; Telecom</x:v>
      </x:c>
    </x:row>
    <x:row r="50" ht="36" customHeight="1">
      <x:c r="A50" s="139" t="str">
        <x:v>Yes</x:v>
      </x:c>
      <x:c r="B50" s="140" t="str">
        <x:v>EU &amp; Europe</x:v>
      </x:c>
      <x:c r="C50" s="140" t="str">
        <x:v>Netherlands</x:v>
      </x:c>
      <x:c r="D50" s="140" t="str">
        <x:v>Semiconductor lithography, manufacturing equipment and process technology</x:v>
      </x:c>
      <x:c r="E50" s="140" t="str">
        <x:v>ASML News</x:v>
      </x:c>
      <x:c r="F50" s="140" t="str">
        <x:v>ASML</x:v>
      </x:c>
      <x:c r="G50" s="140" t="str">
        <x:v>https://www.asml.com/en/news/press-releases</x:v>
      </x:c>
      <x:c r="H50" s="140" t="str">
        <x:v>https://www.asml.com/en/news/press-releases</x:v>
      </x:c>
      <x:c r="I50" s="141" t="n">
        <x:v>5</x:v>
      </x:c>
      <x:c r="J50" s="139" t="str">
        <x:v>No</x:v>
      </x:c>
      <x:c r="K50" s="140" t="str">
        <x:v>Official semiconductor-equipment newsroom.</x:v>
      </x:c>
      <x:c r="L50" s="142" t="str">
        <x:v>S</x:v>
      </x:c>
      <x:c r="M50" s="142" t="str">
        <x:v>Daily</x:v>
      </x:c>
      <x:c r="N50" s="143" t="str">
        <x:v>Semiconductors &amp; Telecom</x:v>
      </x:c>
    </x:row>
    <x:row r="51" ht="36" customHeight="1">
      <x:c r="A51" s="139" t="str">
        <x:v>Yes</x:v>
      </x:c>
      <x:c r="B51" s="140" t="str">
        <x:v>Asia</x:v>
      </x:c>
      <x:c r="C51" s="140" t="str">
        <x:v>South Korea</x:v>
      </x:c>
      <x:c r="D51" s="140" t="str">
        <x:v>Semiconductor memory, HBM, NAND and AI infrastructure</x:v>
      </x:c>
      <x:c r="E51" s="140" t="str">
        <x:v>SK hynix Newsroom</x:v>
      </x:c>
      <x:c r="F51" s="140" t="str">
        <x:v>SK hynix</x:v>
      </x:c>
      <x:c r="G51" s="140" t="str">
        <x:v>https://news.skhynix.com/</x:v>
      </x:c>
      <x:c r="H51" s="140" t="str">
        <x:v>https://news.skhynix.com/</x:v>
      </x:c>
      <x:c r="I51" s="141" t="n">
        <x:v>5</x:v>
      </x:c>
      <x:c r="J51" s="139" t="str">
        <x:v>No</x:v>
      </x:c>
      <x:c r="K51" s="140" t="str">
        <x:v>Official semiconductor-memory newsroom.</x:v>
      </x:c>
      <x:c r="L51" s="142" t="str">
        <x:v>S</x:v>
      </x:c>
      <x:c r="M51" s="142" t="str">
        <x:v>Daily</x:v>
      </x:c>
      <x:c r="N51" s="143" t="str">
        <x:v>Artificial Intelligence | Semiconductors &amp; Telecom</x:v>
      </x:c>
    </x:row>
    <x:row r="52" ht="36" customHeight="1">
      <x:c r="A52" s="139" t="str">
        <x:v>Yes</x:v>
      </x:c>
      <x:c r="B52" s="140" t="str">
        <x:v>EU &amp; Europe</x:v>
      </x:c>
      <x:c r="C52" s="140" t="str">
        <x:v>United Kingdom</x:v>
      </x:c>
      <x:c r="D52" s="140" t="str">
        <x:v>Semiconductor architecture, chiplets, edge computing and AI infrastructure</x:v>
      </x:c>
      <x:c r="E52" s="140" t="str">
        <x:v>Arm Newsroom</x:v>
      </x:c>
      <x:c r="F52" s="140" t="str">
        <x:v>Arm</x:v>
      </x:c>
      <x:c r="G52" s="140" t="str">
        <x:v>https://newsroom.arm.com/news</x:v>
      </x:c>
      <x:c r="H52" s="140" t="str">
        <x:v>https://newsroom.arm.com/</x:v>
      </x:c>
      <x:c r="I52" s="141" t="n">
        <x:v>5</x:v>
      </x:c>
      <x:c r="J52" s="139" t="str">
        <x:v>No</x:v>
      </x:c>
      <x:c r="K52" s="140" t="str">
        <x:v>Official semiconductor architecture and engineering newsroom.</x:v>
      </x:c>
      <x:c r="L52" s="142" t="str">
        <x:v>S</x:v>
      </x:c>
      <x:c r="M52" s="142" t="str">
        <x:v>Daily</x:v>
      </x:c>
      <x:c r="N52" s="143" t="str">
        <x:v>Artificial Intelligence | Semiconductors &amp; Telecom</x:v>
      </x:c>
    </x:row>
    <x:row r="53" ht="36" customHeight="1">
      <x:c r="A53" s="139" t="str">
        <x:v>Yes</x:v>
      </x:c>
      <x:c r="B53" s="140" t="str">
        <x:v>Global</x:v>
      </x:c>
      <x:c r="C53" s="140" t="str">
        <x:v>United States</x:v>
      </x:c>
      <x:c r="D53" s="140" t="str">
        <x:v>Semiconductors, wireless communications, edge AI and standards</x:v>
      </x:c>
      <x:c r="E53" s="140" t="str">
        <x:v>Qualcomm News</x:v>
      </x:c>
      <x:c r="F53" s="140" t="str">
        <x:v>Qualcomm</x:v>
      </x:c>
      <x:c r="G53" s="140" t="str">
        <x:v>https://www.qualcomm.com/news/releases</x:v>
      </x:c>
      <x:c r="H53" s="140" t="str">
        <x:v>https://www.qualcomm.com/news/releases</x:v>
      </x:c>
      <x:c r="I53" s="141" t="n">
        <x:v>4</x:v>
      </x:c>
      <x:c r="J53" s="139" t="str">
        <x:v>No</x:v>
      </x:c>
      <x:c r="K53" s="140" t="str">
        <x:v>Official semiconductor and wireless-technology newsroom.</x:v>
      </x:c>
      <x:c r="L53" s="142" t="str">
        <x:v>A</x:v>
      </x:c>
      <x:c r="M53" s="142" t="str">
        <x:v>Daily</x:v>
      </x:c>
      <x:c r="N53" s="143" t="str">
        <x:v>Artificial Intelligence | Semiconductors &amp; Telecom</x:v>
      </x:c>
    </x:row>
    <x:row r="54" ht="36" customHeight="1">
      <x:c r="A54" s="139" t="str">
        <x:v>Yes</x:v>
      </x:c>
      <x:c r="B54" s="140" t="str">
        <x:v>EU &amp; Europe</x:v>
      </x:c>
      <x:c r="C54" s="140" t="str">
        <x:v>Sweden</x:v>
      </x:c>
      <x:c r="D54" s="140" t="str">
        <x:v>Telecommunications, 5G, 6G, networking and standards</x:v>
      </x:c>
      <x:c r="E54" s="140" t="str">
        <x:v>Ericsson Press Releases</x:v>
      </x:c>
      <x:c r="F54" s="140" t="str">
        <x:v>Ericsson</x:v>
      </x:c>
      <x:c r="G54" s="140" t="str">
        <x:v>https://www.ericsson.com/en/newsroom</x:v>
      </x:c>
      <x:c r="H54" s="140" t="str">
        <x:v>https://www.ericsson.com/en/newsroom</x:v>
      </x:c>
      <x:c r="I54" s="141" t="n">
        <x:v>4</x:v>
      </x:c>
      <x:c r="J54" s="139" t="str">
        <x:v>No</x:v>
      </x:c>
      <x:c r="K54" s="140" t="str">
        <x:v>Official telecommunications R&amp;D and standards releases.</x:v>
      </x:c>
      <x:c r="L54" s="142" t="str">
        <x:v>A</x:v>
      </x:c>
      <x:c r="M54" s="142" t="str">
        <x:v>Daily</x:v>
      </x:c>
      <x:c r="N54" s="143" t="str">
        <x:v>Semiconductors &amp; Telecom</x:v>
      </x:c>
    </x:row>
    <x:row r="55" ht="36" customHeight="1">
      <x:c r="A55" s="139" t="str">
        <x:v>Yes</x:v>
      </x:c>
      <x:c r="B55" s="140" t="str">
        <x:v>EU &amp; Europe</x:v>
      </x:c>
      <x:c r="C55" s="140" t="str">
        <x:v>Finland</x:v>
      </x:c>
      <x:c r="D55" s="140" t="str">
        <x:v>Telecommunications, 5G, 6G, optical networking and quantum-safe networks</x:v>
      </x:c>
      <x:c r="E55" s="140" t="str">
        <x:v>Nokia Newsroom</x:v>
      </x:c>
      <x:c r="F55" s="140" t="str">
        <x:v>Nokia</x:v>
      </x:c>
      <x:c r="G55" s="140" t="str">
        <x:v>https://www.nokia.com/about-us/newsroom/</x:v>
      </x:c>
      <x:c r="H55" s="140" t="str">
        <x:v>https://www.nokia.com/about-us/newsroom/</x:v>
      </x:c>
      <x:c r="I55" s="141" t="n">
        <x:v>4</x:v>
      </x:c>
      <x:c r="J55" s="139" t="str">
        <x:v>No</x:v>
      </x:c>
      <x:c r="K55" s="140" t="str">
        <x:v>Official telecommunications research and technology newsroom.</x:v>
      </x:c>
      <x:c r="L55" s="142" t="str">
        <x:v>A</x:v>
      </x:c>
      <x:c r="M55" s="142" t="str">
        <x:v>Daily</x:v>
      </x:c>
      <x:c r="N55" s="143" t="str">
        <x:v>Semiconductors &amp; Telecom | Quantum</x:v>
      </x:c>
    </x:row>
    <x:row r="56" ht="36" customHeight="1">
      <x:c r="A56" s="139" t="str">
        <x:v>Yes</x:v>
      </x:c>
      <x:c r="B56" s="140" t="str">
        <x:v>Asia</x:v>
      </x:c>
      <x:c r="C56" s="140" t="str">
        <x:v>Japan</x:v>
      </x:c>
      <x:c r="D56" s="140" t="str">
        <x:v>Telecommunications, photonics, IOWN, AI and quantum research</x:v>
      </x:c>
      <x:c r="E56" s="140" t="str">
        <x:v>NTT R&amp;D News</x:v>
      </x:c>
      <x:c r="F56" s="140" t="str">
        <x:v>NTT</x:v>
      </x:c>
      <x:c r="G56" s="140" t="str">
        <x:v>https://group.ntt/en/newsrelease/</x:v>
      </x:c>
      <x:c r="H56" s="140" t="str">
        <x:v>https://group.ntt/en/newsrelease/</x:v>
      </x:c>
      <x:c r="I56" s="141" t="n">
        <x:v>5</x:v>
      </x:c>
      <x:c r="J56" s="139" t="str">
        <x:v>No</x:v>
      </x:c>
      <x:c r="K56" s="140" t="str">
        <x:v>Official Japanese telecommunications and corporate R&amp;D releases.</x:v>
      </x:c>
      <x:c r="L56" s="142" t="str">
        <x:v>S</x:v>
      </x:c>
      <x:c r="M56" s="142" t="str">
        <x:v>Daily</x:v>
      </x:c>
      <x:c r="N56" s="143" t="str">
        <x:v>Artificial Intelligence | Semiconductors &amp; Telecom | Quantum</x:v>
      </x:c>
    </x:row>
    <x:row r="57" ht="36" customHeight="1">
      <x:c r="A57" s="139" t="str">
        <x:v>Yes</x:v>
      </x:c>
      <x:c r="B57" s="140" t="str">
        <x:v>Asia</x:v>
      </x:c>
      <x:c r="C57" s="140" t="str">
        <x:v>Japan</x:v>
      </x:c>
      <x:c r="D57" s="140" t="str">
        <x:v>Advanced semiconductor process technology and manufacturing</x:v>
      </x:c>
      <x:c r="E57" s="140" t="str">
        <x:v>Rapidus News</x:v>
      </x:c>
      <x:c r="F57" s="140" t="str">
        <x:v>Rapidus</x:v>
      </x:c>
      <x:c r="G57" s="140" t="str">
        <x:v>https://www.rapidus.inc/en/news_topics/</x:v>
      </x:c>
      <x:c r="H57" s="140" t="str">
        <x:v>https://www.rapidus.inc/en/news_topics/</x:v>
      </x:c>
      <x:c r="I57" s="141" t="n">
        <x:v>5</x:v>
      </x:c>
      <x:c r="J57" s="139" t="str">
        <x:v>No</x:v>
      </x:c>
      <x:c r="K57" s="140" t="str">
        <x:v>Official Japanese advanced-semiconductor manufacturer.</x:v>
      </x:c>
      <x:c r="L57" s="142" t="str">
        <x:v>S</x:v>
      </x:c>
      <x:c r="M57" s="142" t="str">
        <x:v>Daily</x:v>
      </x:c>
      <x:c r="N57" s="143" t="str">
        <x:v>Semiconductors &amp; Telecom</x:v>
      </x:c>
    </x:row>
    <x:row r="58" ht="36" customHeight="1">
      <x:c r="A58" s="139" t="str">
        <x:v>Yes</x:v>
      </x:c>
      <x:c r="B58" s="140" t="str">
        <x:v>Global</x:v>
      </x:c>
      <x:c r="C58" s="140" t="str">
        <x:v>United Kingdom / United States</x:v>
      </x:c>
      <x:c r="D58" s="140" t="str">
        <x:v>Quantum computing, fault tolerance, quantum software and quantum security</x:v>
      </x:c>
      <x:c r="E58" s="140" t="str">
        <x:v>Quantinuum News</x:v>
      </x:c>
      <x:c r="F58" s="140" t="str">
        <x:v>Quantinuum</x:v>
      </x:c>
      <x:c r="G58" s="140" t="str">
        <x:v>https://www.quantinuum.com/news/news</x:v>
      </x:c>
      <x:c r="H58" s="140" t="str">
        <x:v>https://www.quantinuum.com/news/news</x:v>
      </x:c>
      <x:c r="I58" s="141" t="n">
        <x:v>5</x:v>
      </x:c>
      <x:c r="J58" s="139" t="str">
        <x:v>No</x:v>
      </x:c>
      <x:c r="K58" s="140" t="str">
        <x:v>Official quantum-computing company newsroom.</x:v>
      </x:c>
      <x:c r="L58" s="142" t="str">
        <x:v>S</x:v>
      </x:c>
      <x:c r="M58" s="142" t="str">
        <x:v>Daily</x:v>
      </x:c>
      <x:c r="N58" s="143" t="str">
        <x:v>Quantum</x:v>
      </x:c>
    </x:row>
    <x:row r="59">
      <x:c r="A59" s="142" t="str">
        <x:v>Yes</x:v>
      </x:c>
      <x:c r="B59" s="143" t="str">
        <x:v>United States</x:v>
      </x:c>
      <x:c r="C59" s="143" t="str">
        <x:v>United States</x:v>
      </x:c>
      <x:c r="D59" s="143" t="str">
        <x:v>Trapped-ion quantum computing, quantum networking and quantum security</x:v>
      </x:c>
      <x:c r="E59" s="143" t="str">
        <x:v>IonQ News</x:v>
      </x:c>
      <x:c r="F59" s="143" t="str">
        <x:v>IonQ</x:v>
      </x:c>
      <x:c r="G59" s="143" t="str">
        <x:v>https://www.ionq.com/news</x:v>
      </x:c>
      <x:c r="H59" s="143" t="str">
        <x:v>https://www.ionq.com/news</x:v>
      </x:c>
      <x:c r="I59" s="142" t="n">
        <x:v>5</x:v>
      </x:c>
      <x:c r="J59" s="142" t="str">
        <x:v>No</x:v>
      </x:c>
      <x:c r="K59" s="143" t="str">
        <x:v>Official quantum-computing company newsroom.</x:v>
      </x:c>
      <x:c r="L59" s="142" t="str">
        <x:v>S</x:v>
      </x:c>
      <x:c r="M59" s="142" t="str">
        <x:v>Daily</x:v>
      </x:c>
      <x:c r="N59" s="143" t="str">
        <x:v>Quantum</x:v>
      </x:c>
    </x:row>
    <x:row r="60">
      <x:c r="A60" s="142" t="str">
        <x:v>Yes</x:v>
      </x:c>
      <x:c r="B60" s="143" t="str">
        <x:v>United States</x:v>
      </x:c>
      <x:c r="C60" s="143" t="str">
        <x:v>United States</x:v>
      </x:c>
      <x:c r="D60" s="143" t="str">
        <x:v>Fusion energy, high-temperature superconducting magnets and fusion engineering</x:v>
      </x:c>
      <x:c r="E60" s="143" t="str">
        <x:v>Commonwealth Fusion Systems News</x:v>
      </x:c>
      <x:c r="F60" s="143" t="str">
        <x:v>Commonwealth Fusion Systems</x:v>
      </x:c>
      <x:c r="G60" s="143" t="str">
        <x:v>https://cfs.energy/news-and-media/</x:v>
      </x:c>
      <x:c r="H60" s="143" t="str">
        <x:v>https://cfs.energy/news-and-media/</x:v>
      </x:c>
      <x:c r="I60" s="142" t="n">
        <x:v>5</x:v>
      </x:c>
      <x:c r="J60" s="142" t="str">
        <x:v>No</x:v>
      </x:c>
      <x:c r="K60" s="143" t="str">
        <x:v>Official fusion-energy company newsroom.</x:v>
      </x:c>
      <x:c r="L60" s="142" t="str">
        <x:v>S</x:v>
      </x:c>
      <x:c r="M60" s="142" t="str">
        <x:v>Daily</x:v>
      </x:c>
      <x:c r="N60" s="143" t="str">
        <x:v>Fusion Energy</x:v>
      </x:c>
    </x:row>
    <x:row r="61">
      <x:c r="A61" s="142" t="str">
        <x:v>Yes</x:v>
      </x:c>
      <x:c r="B61" s="143" t="str">
        <x:v>United States</x:v>
      </x:c>
      <x:c r="C61" s="143" t="str">
        <x:v>United States</x:v>
      </x:c>
      <x:c r="D61" s="143" t="str">
        <x:v>Fusion energy, pulsed fusion systems and fusion power engineering</x:v>
      </x:c>
      <x:c r="E61" s="143" t="str">
        <x:v>Helion Energy News</x:v>
      </x:c>
      <x:c r="F61" s="143" t="str">
        <x:v>Helion Energy</x:v>
      </x:c>
      <x:c r="G61" s="143" t="str">
        <x:v>https://www.helionenergy.com/blog</x:v>
      </x:c>
      <x:c r="H61" s="143" t="str">
        <x:v>https://www.helionenergy.com/blog</x:v>
      </x:c>
      <x:c r="I61" s="142" t="n">
        <x:v>4</x:v>
      </x:c>
      <x:c r="J61" s="142" t="str">
        <x:v>No</x:v>
      </x:c>
      <x:c r="K61" s="143" t="str">
        <x:v>Official fusion-energy engineering updates.</x:v>
      </x:c>
      <x:c r="L61" s="142" t="str">
        <x:v>A</x:v>
      </x:c>
      <x:c r="M61" s="142" t="str">
        <x:v>Daily</x:v>
      </x:c>
      <x:c r="N61" s="143" t="str">
        <x:v>Fusion Energy</x:v>
      </x:c>
    </x:row>
    <x:row r="62">
      <x:c r="A62" s="142" t="str">
        <x:v>Yes</x:v>
      </x:c>
      <x:c r="B62" s="143" t="str">
        <x:v>EU &amp; Europe</x:v>
      </x:c>
      <x:c r="C62" s="143" t="str">
        <x:v>United Kingdom</x:v>
      </x:c>
      <x:c r="D62" s="143" t="str">
        <x:v>Fusion energy, spherical tokamaks and high-temperature superconducting magnets</x:v>
      </x:c>
      <x:c r="E62" s="143" t="str">
        <x:v>Tokamak Energy News</x:v>
      </x:c>
      <x:c r="F62" s="143" t="str">
        <x:v>Tokamak Energy</x:v>
      </x:c>
      <x:c r="G62" s="143" t="str">
        <x:v>https://tokamakenergy.com/latest-news/</x:v>
      </x:c>
      <x:c r="H62" s="143" t="str">
        <x:v>https://tokamakenergy.com/latest-news/</x:v>
      </x:c>
      <x:c r="I62" s="142" t="n">
        <x:v>4</x:v>
      </x:c>
      <x:c r="J62" s="142" t="str">
        <x:v>No</x:v>
      </x:c>
      <x:c r="K62" s="143" t="str">
        <x:v>Official fusion-energy company newsroom.</x:v>
      </x:c>
      <x:c r="L62" s="142" t="str">
        <x:v>A</x:v>
      </x:c>
      <x:c r="M62" s="142" t="str">
        <x:v>Daily</x:v>
      </x:c>
      <x:c r="N62" s="143" t="str">
        <x:v>Fusion Energy</x:v>
      </x:c>
    </x:row>
    <x:row r="63">
      <x:c r="A63" s="142" t="str">
        <x:v>Yes</x:v>
      </x:c>
      <x:c r="B63" s="143" t="str">
        <x:v>Asia</x:v>
      </x:c>
      <x:c r="C63" s="143" t="str">
        <x:v>Japan</x:v>
      </x:c>
      <x:c r="D63" s="143" t="str">
        <x:v>Fusion energy, fusion plant engineering and tritium technologies</x:v>
      </x:c>
      <x:c r="E63" s="143" t="str">
        <x:v>Kyoto Fusioneering News</x:v>
      </x:c>
      <x:c r="F63" s="143" t="str">
        <x:v>Kyoto Fusioneering</x:v>
      </x:c>
      <x:c r="G63" s="143" t="str">
        <x:v>https://kyotofusioneering.com/en/news/</x:v>
      </x:c>
      <x:c r="H63" s="143" t="str">
        <x:v>https://kyotofusioneering.com/en/news/</x:v>
      </x:c>
      <x:c r="I63" s="142" t="n">
        <x:v>4</x:v>
      </x:c>
      <x:c r="J63" s="142" t="str">
        <x:v>No</x:v>
      </x:c>
      <x:c r="K63" s="143" t="str">
        <x:v>Official Japanese fusion-engineering company newsroom.</x:v>
      </x:c>
      <x:c r="L63" s="142" t="str">
        <x:v>A</x:v>
      </x:c>
      <x:c r="M63" s="142" t="str">
        <x:v>Daily</x:v>
      </x:c>
      <x:c r="N63" s="143" t="str">
        <x:v>Fusion Energy</x:v>
      </x:c>
    </x:row>
    <x:row r="64">
      <x:c r="A64" s="142" t="str">
        <x:v>Yes</x:v>
      </x:c>
      <x:c r="B64" s="143" t="str">
        <x:v>United States</x:v>
      </x:c>
      <x:c r="C64" s="143" t="str">
        <x:v>United States</x:v>
      </x:c>
      <x:c r="D64" s="143" t="str">
        <x:v>Biotechnology, mRNA platforms, vaccines and clinical research</x:v>
      </x:c>
      <x:c r="E64" s="143" t="str">
        <x:v>Moderna Media Center</x:v>
      </x:c>
      <x:c r="F64" s="143" t="str">
        <x:v>Moderna</x:v>
      </x:c>
      <x:c r="G64" s="143" t="str">
        <x:v>https://www.modernatx.com/media-center/all-media</x:v>
      </x:c>
      <x:c r="H64" s="143" t="str">
        <x:v>https://www.modernatx.com/media-center/all-media</x:v>
      </x:c>
      <x:c r="I64" s="142" t="n">
        <x:v>4</x:v>
      </x:c>
      <x:c r="J64" s="142" t="str">
        <x:v>No</x:v>
      </x:c>
      <x:c r="K64" s="143" t="str">
        <x:v>Official biotechnology company newsroom; financial-only releases are excluded.</x:v>
      </x:c>
      <x:c r="L64" s="142" t="str">
        <x:v>A</x:v>
      </x:c>
      <x:c r="M64" s="142" t="str">
        <x:v>Daily</x:v>
      </x:c>
      <x:c r="N64" s="143" t="str">
        <x:v>Biotechnology | Healthcare</x:v>
      </x:c>
    </x:row>
    <x:row r="65">
      <x:c r="A65" s="142" t="str">
        <x:v>Yes</x:v>
      </x:c>
      <x:c r="B65" s="143" t="str">
        <x:v>EU &amp; Europe</x:v>
      </x:c>
      <x:c r="C65" s="143" t="str">
        <x:v>Germany</x:v>
      </x:c>
      <x:c r="D65" s="143" t="str">
        <x:v>Biotechnology, mRNA, immunotherapy and clinical research</x:v>
      </x:c>
      <x:c r="E65" s="143" t="str">
        <x:v>BioNTech Press Releases</x:v>
      </x:c>
      <x:c r="F65" s="143" t="str">
        <x:v>BioNTech</x:v>
      </x:c>
      <x:c r="G65" s="143" t="str">
        <x:v>https://www.biontech.com/int/en/home/mediaroom/news.html</x:v>
      </x:c>
      <x:c r="H65" s="143" t="str">
        <x:v>https://www.biontech.com/int/en/home/mediaroom/news.html</x:v>
      </x:c>
      <x:c r="I65" s="142" t="n">
        <x:v>4</x:v>
      </x:c>
      <x:c r="J65" s="142" t="str">
        <x:v>No</x:v>
      </x:c>
      <x:c r="K65" s="143" t="str">
        <x:v>Official biotechnology company newsroom; financial-only releases are excluded.</x:v>
      </x:c>
      <x:c r="L65" s="142" t="str">
        <x:v>A</x:v>
      </x:c>
      <x:c r="M65" s="142" t="str">
        <x:v>Daily</x:v>
      </x:c>
      <x:c r="N65" s="143" t="str">
        <x:v>Biotechnology | Healthcare</x:v>
      </x:c>
    </x:row>
    <x:row r="66">
      <x:c r="A66" s="142" t="str">
        <x:v>Yes</x:v>
      </x:c>
      <x:c r="B66" s="143" t="str">
        <x:v>EU &amp; Europe</x:v>
      </x:c>
      <x:c r="C66" s="143" t="str">
        <x:v>Switzerland</x:v>
      </x:c>
      <x:c r="D66" s="143" t="str">
        <x:v>Biotechnology, diagnostics, drug development and clinical research</x:v>
      </x:c>
      <x:c r="E66" s="143" t="str">
        <x:v>Roche Media Releases</x:v>
      </x:c>
      <x:c r="F66" s="143" t="str">
        <x:v>Roche</x:v>
      </x:c>
      <x:c r="G66" s="143" t="str">
        <x:v>https://www.roche.com/media/releases</x:v>
      </x:c>
      <x:c r="H66" s="143" t="str">
        <x:v>https://www.roche.com/media/releases</x:v>
      </x:c>
      <x:c r="I66" s="142" t="n">
        <x:v>4</x:v>
      </x:c>
      <x:c r="J66" s="142" t="str">
        <x:v>No</x:v>
      </x:c>
      <x:c r="K66" s="143" t="str">
        <x:v>Official biotechnology and healthcare company newsroom.</x:v>
      </x:c>
      <x:c r="L66" s="142" t="str">
        <x:v>A</x:v>
      </x:c>
      <x:c r="M66" s="142" t="str">
        <x:v>Daily</x:v>
      </x:c>
      <x:c r="N66" s="143" t="str">
        <x:v>Biotechnology | Healthcare</x:v>
      </x:c>
    </x:row>
    <x:row r="67">
      <x:c r="A67" s="142" t="str">
        <x:v>Yes</x:v>
      </x:c>
      <x:c r="B67" s="143" t="str">
        <x:v>EU &amp; Europe</x:v>
      </x:c>
      <x:c r="C67" s="143" t="str">
        <x:v>United Kingdom</x:v>
      </x:c>
      <x:c r="D67" s="143" t="str">
        <x:v>Drug development, biotechnology, clinical trials and healthcare research</x:v>
      </x:c>
      <x:c r="E67" s="143" t="str">
        <x:v>AstraZeneca Press Releases</x:v>
      </x:c>
      <x:c r="F67" s="143" t="str">
        <x:v>AstraZeneca</x:v>
      </x:c>
      <x:c r="G67" s="143" t="str">
        <x:v>https://www.astrazeneca.com/media-centre/press-releases.html</x:v>
      </x:c>
      <x:c r="H67" s="143" t="str">
        <x:v>https://www.astrazeneca.com/media-centre/press-releases.html</x:v>
      </x:c>
      <x:c r="I67" s="142" t="n">
        <x:v>4</x:v>
      </x:c>
      <x:c r="J67" s="142" t="str">
        <x:v>No</x:v>
      </x:c>
      <x:c r="K67" s="143" t="str">
        <x:v>Official biopharma newsroom; clinical and R&amp;D developments are retained.</x:v>
      </x:c>
      <x:c r="L67" s="142" t="str">
        <x:v>A</x:v>
      </x:c>
      <x:c r="M67" s="142" t="str">
        <x:v>Daily</x:v>
      </x:c>
      <x:c r="N67" s="143" t="str">
        <x:v>Biotechnology | Healthcare</x:v>
      </x:c>
    </x:row>
    <x:row r="68">
      <x:c r="A68" s="142" t="str">
        <x:v>Yes</x:v>
      </x:c>
      <x:c r="B68" s="143" t="str">
        <x:v>United States</x:v>
      </x:c>
      <x:c r="C68" s="143" t="str">
        <x:v>United States</x:v>
      </x:c>
      <x:c r="D68" s="143" t="str">
        <x:v>Genomics, sequencing technology, biotechnology and precision medicine</x:v>
      </x:c>
      <x:c r="E68" s="143" t="str">
        <x:v>Illumina News Center</x:v>
      </x:c>
      <x:c r="F68" s="143" t="str">
        <x:v>Illumina</x:v>
      </x:c>
      <x:c r="G68" s="143" t="str">
        <x:v>https://www.illumina.com/company/news-center.html</x:v>
      </x:c>
      <x:c r="H68" s="143" t="str">
        <x:v>https://www.illumina.com/company/news-center.html</x:v>
      </x:c>
      <x:c r="I68" s="142" t="n">
        <x:v>4</x:v>
      </x:c>
      <x:c r="J68" s="142" t="str">
        <x:v>No</x:v>
      </x:c>
      <x:c r="K68" s="143" t="str">
        <x:v>Official genomics and sequencing-technology newsroom.</x:v>
      </x:c>
      <x:c r="L68" s="142" t="str">
        <x:v>A</x:v>
      </x:c>
      <x:c r="M68" s="142" t="str">
        <x:v>Daily</x:v>
      </x:c>
      <x:c r="N68" s="143" t="str">
        <x:v>Biotechnology | Healthcare</x:v>
      </x:c>
    </x:row>
    <x:row r="69">
      <x:c r="A69" s="142" t="str">
        <x:v>Yes</x:v>
      </x:c>
      <x:c r="B69" s="143" t="str">
        <x:v>United States</x:v>
      </x:c>
      <x:c r="C69" s="143" t="str">
        <x:v>United States</x:v>
      </x:c>
      <x:c r="D69" s="143" t="str">
        <x:v>Space launch, spacecraft, satellite communications and reusable rockets</x:v>
      </x:c>
      <x:c r="E69" s="143" t="str">
        <x:v>SpaceX Updates</x:v>
      </x:c>
      <x:c r="F69" s="143" t="str">
        <x:v>SpaceX</x:v>
      </x:c>
      <x:c r="G69" s="143" t="str">
        <x:v>https://www.spacex.com/updates</x:v>
      </x:c>
      <x:c r="H69" s="143" t="str">
        <x:v>https://www.spacex.com/updates</x:v>
      </x:c>
      <x:c r="I69" s="142" t="n">
        <x:v>5</x:v>
      </x:c>
      <x:c r="J69" s="142" t="str">
        <x:v>No</x:v>
      </x:c>
      <x:c r="K69" s="143" t="str">
        <x:v>Official launch-vehicle and spacecraft engineering updates.</x:v>
      </x:c>
      <x:c r="L69" s="142" t="str">
        <x:v>S</x:v>
      </x:c>
      <x:c r="M69" s="142" t="str">
        <x:v>Daily</x:v>
      </x:c>
      <x:c r="N69" s="143" t="str">
        <x:v>Semiconductors &amp; Telecom | Space</x:v>
      </x:c>
    </x:row>
    <x:row r="70">
      <x:c r="A70" s="142" t="str">
        <x:v>Yes</x:v>
      </x:c>
      <x:c r="B70" s="143" t="str">
        <x:v>United States</x:v>
      </x:c>
      <x:c r="C70" s="143" t="str">
        <x:v>United States</x:v>
      </x:c>
      <x:c r="D70" s="143" t="str">
        <x:v>Space launch, rocket engines, lunar systems and reusable spacecraft</x:v>
      </x:c>
      <x:c r="E70" s="143" t="str">
        <x:v>Blue Origin News</x:v>
      </x:c>
      <x:c r="F70" s="143" t="str">
        <x:v>Blue Origin</x:v>
      </x:c>
      <x:c r="G70" s="143" t="str">
        <x:v>https://www.blueorigin.com/news</x:v>
      </x:c>
      <x:c r="H70" s="143" t="str">
        <x:v>https://www.blueorigin.com/news</x:v>
      </x:c>
      <x:c r="I70" s="142" t="n">
        <x:v>5</x:v>
      </x:c>
      <x:c r="J70" s="142" t="str">
        <x:v>No</x:v>
      </x:c>
      <x:c r="K70" s="143" t="str">
        <x:v>Official launch-vehicle and space-systems newsroom.</x:v>
      </x:c>
      <x:c r="L70" s="142" t="str">
        <x:v>S</x:v>
      </x:c>
      <x:c r="M70" s="142" t="str">
        <x:v>Daily</x:v>
      </x:c>
      <x:c r="N70" s="143" t="str">
        <x:v>Space</x:v>
      </x:c>
    </x:row>
    <x:row r="71">
      <x:c r="A71" s="142" t="str">
        <x:v>Yes</x:v>
      </x:c>
      <x:c r="B71" s="143" t="str">
        <x:v>Global</x:v>
      </x:c>
      <x:c r="C71" s="143" t="str">
        <x:v>United States / New Zealand</x:v>
      </x:c>
      <x:c r="D71" s="143" t="str">
        <x:v>Space launch, spacecraft, satellite systems and rocket engineering</x:v>
      </x:c>
      <x:c r="E71" s="143" t="str">
        <x:v>Rocket Lab Updates</x:v>
      </x:c>
      <x:c r="F71" s="143" t="str">
        <x:v>Rocket Lab</x:v>
      </x:c>
      <x:c r="G71" s="143" t="str">
        <x:v>https://rocketlabcorp.com/updates/</x:v>
      </x:c>
      <x:c r="H71" s="143" t="str">
        <x:v>https://rocketlabcorp.com/updates/</x:v>
      </x:c>
      <x:c r="I71" s="142" t="n">
        <x:v>4</x:v>
      </x:c>
      <x:c r="J71" s="142" t="str">
        <x:v>No</x:v>
      </x:c>
      <x:c r="K71" s="143" t="str">
        <x:v>Official launch and space-systems company newsroom.</x:v>
      </x:c>
      <x:c r="L71" s="142" t="str">
        <x:v>A</x:v>
      </x:c>
      <x:c r="M71" s="142" t="str">
        <x:v>Daily</x:v>
      </x:c>
      <x:c r="N71" s="143" t="str">
        <x:v>Space</x:v>
      </x:c>
    </x:row>
    <x:row r="72">
      <x:c r="A72" s="142" t="str">
        <x:v>Yes</x:v>
      </x:c>
      <x:c r="B72" s="143" t="str">
        <x:v>Asia</x:v>
      </x:c>
      <x:c r="C72" s="143" t="str">
        <x:v>Japan</x:v>
      </x:c>
      <x:c r="D72" s="143" t="str">
        <x:v>Space sustainability, on-orbit servicing and debris removal</x:v>
      </x:c>
      <x:c r="E72" s="143" t="str">
        <x:v>Astroscale News</x:v>
      </x:c>
      <x:c r="F72" s="143" t="str">
        <x:v>Astroscale</x:v>
      </x:c>
      <x:c r="G72" s="143" t="str">
        <x:v>https://www.astroscale.com/en/news/</x:v>
      </x:c>
      <x:c r="H72" s="143" t="str">
        <x:v>https://www.astroscale.com/en/news/</x:v>
      </x:c>
      <x:c r="I72" s="142" t="n">
        <x:v>4</x:v>
      </x:c>
      <x:c r="J72" s="142" t="str">
        <x:v>No</x:v>
      </x:c>
      <x:c r="K72" s="143" t="str">
        <x:v>Official Japanese space-sustainability company newsroom.</x:v>
      </x:c>
      <x:c r="L72" s="142" t="str">
        <x:v>A</x:v>
      </x:c>
      <x:c r="M72" s="142" t="str">
        <x:v>Daily</x:v>
      </x:c>
      <x:c r="N72" s="143" t="str">
        <x:v>Space</x:v>
      </x:c>
    </x:row>
    <x:row r="73">
      <x:c r="A73" s="142" t="str">
        <x:v>Yes</x:v>
      </x:c>
      <x:c r="B73" s="143" t="str">
        <x:v>Asia</x:v>
      </x:c>
      <x:c r="C73" s="143" t="str">
        <x:v>Japan</x:v>
      </x:c>
      <x:c r="D73" s="143" t="str">
        <x:v>Lunar exploration, landers and space systems</x:v>
      </x:c>
      <x:c r="E73" s="143" t="str">
        <x:v>ispace News</x:v>
      </x:c>
      <x:c r="F73" s="143" t="str">
        <x:v>ispace</x:v>
      </x:c>
      <x:c r="G73" s="143" t="str">
        <x:v>https://www.ispace-inc.com/news/</x:v>
      </x:c>
      <x:c r="H73" s="143" t="str">
        <x:v>https://www.ispace-inc.com/news/</x:v>
      </x:c>
      <x:c r="I73" s="142" t="n">
        <x:v>4</x:v>
      </x:c>
      <x:c r="J73" s="142" t="str">
        <x:v>No</x:v>
      </x:c>
      <x:c r="K73" s="143" t="str">
        <x:v>Official Japanese lunar exploration company newsroom.</x:v>
      </x:c>
      <x:c r="L73" s="142" t="str">
        <x:v>A</x:v>
      </x:c>
      <x:c r="M73" s="142" t="str">
        <x:v>Daily</x:v>
      </x:c>
      <x:c r="N73" s="143" t="str">
        <x:v>Space</x:v>
      </x:c>
    </x:row>
    <x:row r="74">
      <x:c r="A74" s="142" t="str">
        <x:v>Yes</x:v>
      </x:c>
      <x:c r="B74" s="143" t="str">
        <x:v>EU &amp; Europe</x:v>
      </x:c>
      <x:c r="C74" s="143" t="str">
        <x:v>International / France</x:v>
      </x:c>
      <x:c r="D74" s="143" t="str">
        <x:v>Fusion energy</x:v>
      </x:c>
      <x:c r="E74" s="143" t="str">
        <x:v>ITER News</x:v>
      </x:c>
      <x:c r="F74" s="143" t="str">
        <x:v>ITER Organization</x:v>
      </x:c>
      <x:c r="G74" s="143" t="str">
        <x:v>https://www.iter.org/news</x:v>
      </x:c>
      <x:c r="H74" s="143" t="str">
        <x:v>https://www.iter.org/news</x:v>
      </x:c>
      <x:c r="I74" s="142" t="n">
        <x:v>5</x:v>
      </x:c>
      <x:c r="J74" s="142" t="str">
        <x:v>No</x:v>
      </x:c>
      <x:c r="K74" s="143" t="str">
        <x:v>Official international fusion project; official listing-page fallback.</x:v>
      </x:c>
      <x:c r="L74" s="142" t="str">
        <x:v>S</x:v>
      </x:c>
      <x:c r="M74" s="142" t="str">
        <x:v>Daily</x:v>
      </x:c>
      <x:c r="N74" s="143" t="str">
        <x:v>Fusion Energy</x:v>
      </x:c>
    </x:row>
    <x:row r="75">
      <x:c r="A75" s="142" t="str">
        <x:v>Yes</x:v>
      </x:c>
      <x:c r="B75" s="143" t="str">
        <x:v>Global</x:v>
      </x:c>
      <x:c r="C75" s="143" t="str">
        <x:v>Global</x:v>
      </x:c>
      <x:c r="D75" s="143" t="str">
        <x:v>Fusion energy</x:v>
      </x:c>
      <x:c r="E75" s="143" t="str">
        <x:v>Fusion Industry Association</x:v>
      </x:c>
      <x:c r="F75" s="143" t="str">
        <x:v>Fusion Industry Association</x:v>
      </x:c>
      <x:c r="G75" s="143" t="str">
        <x:v>https://www.fusionindustryassociation.org/feed/</x:v>
      </x:c>
      <x:c r="H75" s="143" t="str">
        <x:v>https://www.fusionindustryassociation.org/</x:v>
      </x:c>
      <x:c r="I75" s="142" t="n">
        <x:v>3</x:v>
      </x:c>
      <x:c r="J75" s="142" t="str">
        <x:v>Yes</x:v>
      </x:c>
      <x:c r="K75" s="143" t="str">
        <x:v>Established industry association; company claims are clearly labeled by source.</x:v>
      </x:c>
      <x:c r="L75" s="142" t="str">
        <x:v>B</x:v>
      </x:c>
      <x:c r="M75" s="142" t="str">
        <x:v>Weekly</x:v>
      </x:c>
      <x:c r="N75" s="143" t="str">
        <x:v>Fusion Energy</x:v>
      </x:c>
    </x:row>
    <x:row r="76">
      <x:c r="A76" s="142" t="str">
        <x:v>Yes</x:v>
      </x:c>
      <x:c r="B76" s="143" t="str">
        <x:v>Asia</x:v>
      </x:c>
      <x:c r="C76" s="143" t="str">
        <x:v>Japan</x:v>
      </x:c>
      <x:c r="D76" s="143" t="str">
        <x:v>National science, technology and innovation strategy</x:v>
      </x:c>
      <x:c r="E76" s="143" t="str">
        <x:v>Japan Cabinet Office STI Strategy</x:v>
      </x:c>
      <x:c r="F76" s="143" t="str">
        <x:v>Cabinet Office, Government of Japan</x:v>
      </x:c>
      <x:c r="G76" s="143" t="str">
        <x:v>https://www8.cao.go.jp/cstp/tougosenryaku/index.html</x:v>
      </x:c>
      <x:c r="H76" s="143" t="str">
        <x:v>https://www8.cao.go.jp/cstp/tougosenryaku/index.html</x:v>
      </x:c>
      <x:c r="I76" s="142" t="n">
        <x:v>5</x:v>
      </x:c>
      <x:c r="J76" s="142" t="str">
        <x:v>No</x:v>
      </x:c>
      <x:c r="K76" s="143" t="str">
        <x:v>Official annual Japanese science, technology and innovation strategy.</x:v>
      </x:c>
      <x:c r="L76" s="142" t="str">
        <x:v>S</x:v>
      </x:c>
      <x:c r="M76" s="142" t="str">
        <x:v>Daily</x:v>
      </x:c>
      <x:c r="N76" s="143" t="str"/>
    </x:row>
    <x:row r="77">
      <x:c r="A77" s="142" t="str">
        <x:v>Yes</x:v>
      </x:c>
      <x:c r="B77" s="143" t="str">
        <x:v>Asia</x:v>
      </x:c>
      <x:c r="C77" s="143" t="str">
        <x:v>Japan</x:v>
      </x:c>
      <x:c r="D77" s="143" t="str">
        <x:v>Patents, intellectual property and technology transfer policy</x:v>
      </x:c>
      <x:c r="E77" s="143" t="str">
        <x:v>Japan IP Strategy Headquarters</x:v>
      </x:c>
      <x:c r="F77" s="143" t="str">
        <x:v>Intellectual Property Strategy Headquarters, Government of Japan</x:v>
      </x:c>
      <x:c r="G77" s="143" t="str">
        <x:v>https://www.cas.go.jp/jp/seisakukaigi/titeki2/</x:v>
      </x:c>
      <x:c r="H77" s="143" t="str">
        <x:v>https://www.cas.go.jp/jp/seisakukaigi/titeki2/</x:v>
      </x:c>
      <x:c r="I77" s="142" t="n">
        <x:v>5</x:v>
      </x:c>
      <x:c r="J77" s="142" t="str">
        <x:v>No</x:v>
      </x:c>
      <x:c r="K77" s="143" t="str">
        <x:v>Official Japanese intellectual-property strategy and policy updates.</x:v>
      </x:c>
      <x:c r="L77" s="142" t="str">
        <x:v>S</x:v>
      </x:c>
      <x:c r="M77" s="142" t="str">
        <x:v>Daily</x:v>
      </x:c>
      <x:c r="N77" s="143" t="str"/>
    </x:row>
    <x:row r="78">
      <x:c r="A78" s="142" t="str">
        <x:v>Yes</x:v>
      </x:c>
      <x:c r="B78" s="143" t="str">
        <x:v>Asia</x:v>
      </x:c>
      <x:c r="C78" s="143" t="str">
        <x:v>Japan</x:v>
      </x:c>
      <x:c r="D78" s="143" t="str">
        <x:v>Science, technology and innovation policy research</x:v>
      </x:c>
      <x:c r="E78" s="143" t="str">
        <x:v>JST CRDS STI Policy Reports</x:v>
      </x:c>
      <x:c r="F78" s="143" t="str">
        <x:v>JST Center for Research and Development Strategy</x:v>
      </x:c>
      <x:c r="G78" s="143" t="str">
        <x:v>https://www.jst.go.jp/crds/report/by-category/05/index.html</x:v>
      </x:c>
      <x:c r="H78" s="143" t="str">
        <x:v>https://www.jst.go.jp/crds/</x:v>
      </x:c>
      <x:c r="I78" s="142" t="n">
        <x:v>5</x:v>
      </x:c>
      <x:c r="J78" s="142" t="str">
        <x:v>No</x:v>
      </x:c>
      <x:c r="K78" s="143" t="str">
        <x:v>Official Japanese public-policy research reports from JST CRDS.</x:v>
      </x:c>
      <x:c r="L78" s="142" t="str">
        <x:v>S</x:v>
      </x:c>
      <x:c r="M78" s="142" t="str">
        <x:v>Daily</x:v>
      </x:c>
      <x:c r="N78" s="143" t="str"/>
    </x:row>
    <x:row r="79">
      <x:c r="A79" s="142" t="str">
        <x:v>Yes</x:v>
      </x:c>
      <x:c r="B79" s="143" t="str">
        <x:v>United States</x:v>
      </x:c>
      <x:c r="C79" s="143" t="str">
        <x:v>United States</x:v>
      </x:c>
      <x:c r="D79" s="143" t="str">
        <x:v>Science, technology and research policy</x:v>
      </x:c>
      <x:c r="E79" s="143" t="str">
        <x:v>White House OSTP News</x:v>
      </x:c>
      <x:c r="F79" s="143" t="str">
        <x:v>White House Office of Science and Technology Policy</x:v>
      </x:c>
      <x:c r="G79" s="143" t="str">
        <x:v>https://www.whitehouse.gov/ostp/news/</x:v>
      </x:c>
      <x:c r="H79" s="143" t="str">
        <x:v>https://www.whitehouse.gov/ostp/</x:v>
      </x:c>
      <x:c r="I79" s="142" t="n">
        <x:v>5</x:v>
      </x:c>
      <x:c r="J79" s="142" t="str">
        <x:v>No</x:v>
      </x:c>
      <x:c r="K79" s="143" t="str">
        <x:v>Official U.S. science and technology policy releases.</x:v>
      </x:c>
      <x:c r="L79" s="142" t="str">
        <x:v>S</x:v>
      </x:c>
      <x:c r="M79" s="142" t="str">
        <x:v>Daily</x:v>
      </x:c>
      <x:c r="N79" s="143" t="str"/>
    </x:row>
    <x:row r="80">
      <x:c r="A80" s="142" t="str">
        <x:v>Yes</x:v>
      </x:c>
      <x:c r="B80" s="143" t="str">
        <x:v>Global</x:v>
      </x:c>
      <x:c r="C80" s="143" t="str">
        <x:v>Global</x:v>
      </x:c>
      <x:c r="D80" s="143" t="str">
        <x:v>Patents, intellectual property and innovation policy</x:v>
      </x:c>
      <x:c r="E80" s="143" t="str">
        <x:v>WIPO News</x:v>
      </x:c>
      <x:c r="F80" s="143" t="str">
        <x:v>World Intellectual Property Organization</x:v>
      </x:c>
      <x:c r="G80" s="143" t="str">
        <x:v>https://www.wipo.int/pressroom/en/articles/archive.html</x:v>
      </x:c>
      <x:c r="H80" s="143" t="str">
        <x:v>https://www.wipo.int/pressroom/en/</x:v>
      </x:c>
      <x:c r="I80" s="142" t="n">
        <x:v>5</x:v>
      </x:c>
      <x:c r="J80" s="142" t="str">
        <x:v>No</x:v>
      </x:c>
      <x:c r="K80" s="143" t="str">
        <x:v>Official WIPO news on patents, intellectual property and innovation policy.</x:v>
      </x:c>
      <x:c r="L80" s="142" t="str">
        <x:v>S</x:v>
      </x:c>
      <x:c r="M80" s="142" t="str">
        <x:v>Daily</x:v>
      </x:c>
      <x:c r="N80" s="143" t="str"/>
    </x:row>
    <x:row r="81">
      <x:c r="A81" s="142" t="str">
        <x:v>Yes</x:v>
      </x:c>
      <x:c r="B81" s="143" t="str">
        <x:v>EU &amp; Europe</x:v>
      </x:c>
      <x:c r="C81" s="143" t="str">
        <x:v>European Patent Organisation</x:v>
      </x:c>
      <x:c r="D81" s="143" t="str">
        <x:v>Patent policy, examination and technology transfer</x:v>
      </x:c>
      <x:c r="E81" s="143" t="str">
        <x:v>European Patent Office News</x:v>
      </x:c>
      <x:c r="F81" s="143" t="str">
        <x:v>European Patent Office</x:v>
      </x:c>
      <x:c r="G81" s="143" t="str">
        <x:v>https://www.epo.org/en/news-events/news/feed</x:v>
      </x:c>
      <x:c r="H81" s="143" t="str">
        <x:v>https://www.epo.org/en/news-events/news</x:v>
      </x:c>
      <x:c r="I81" s="142" t="n">
        <x:v>5</x:v>
      </x:c>
      <x:c r="J81" s="142" t="str">
        <x:v>Yes</x:v>
      </x:c>
      <x:c r="K81" s="143" t="str">
        <x:v>Official EPO news and patent-system policy updates.</x:v>
      </x:c>
      <x:c r="L81" s="142" t="str">
        <x:v>S</x:v>
      </x:c>
      <x:c r="M81" s="142" t="str">
        <x:v>Daily</x:v>
      </x:c>
      <x:c r="N81" s="143" t="str"/>
    </x:row>
    <x:row r="82">
      <x:c r="A82" s="142" t="str">
        <x:v>Yes</x:v>
      </x:c>
      <x:c r="B82" s="143" t="str">
        <x:v>United States</x:v>
      </x:c>
      <x:c r="C82" s="143" t="str">
        <x:v>United States</x:v>
      </x:c>
      <x:c r="D82" s="143" t="str">
        <x:v>Research and development tax policy and incentives</x:v>
      </x:c>
      <x:c r="E82" s="143" t="str">
        <x:v>U.S. Treasury R&amp;D Tax Policy</x:v>
      </x:c>
      <x:c r="F82" s="143" t="str">
        <x:v>U.S. Department of the Treasury</x:v>
      </x:c>
      <x:c r="G82" s="143" t="str">
        <x:v>https://home.treasury.gov/news/press-releases</x:v>
      </x:c>
      <x:c r="H82" s="143" t="str">
        <x:v>https://home.treasury.gov/news/press-releases</x:v>
      </x:c>
      <x:c r="I82" s="142" t="n">
        <x:v>5</x:v>
      </x:c>
      <x:c r="J82" s="142" t="str">
        <x:v>No</x:v>
      </x:c>
      <x:c r="K82" s="143" t="str">
        <x:v>Official U.S. Treasury releases; R&amp;D and research-tax measures are selected by the policy filter.</x:v>
      </x:c>
      <x:c r="L82" s="142" t="str">
        <x:v>S</x:v>
      </x:c>
      <x:c r="M82" s="142" t="str">
        <x:v>Daily</x:v>
      </x:c>
      <x:c r="N82" s="143" t="str"/>
    </x:row>
    <x:row r="83">
      <x:c r="A83" s="142" t="str">
        <x:v>Yes</x:v>
      </x:c>
      <x:c r="B83" s="143" t="str">
        <x:v>Asia</x:v>
      </x:c>
      <x:c r="C83" s="143" t="str">
        <x:v>China</x:v>
      </x:c>
      <x:c r="D83" s="143" t="str">
        <x:v>National science, technology, industrial and innovation policy</x:v>
      </x:c>
      <x:c r="E83" s="143" t="str">
        <x:v>China State Council Innovation Policies</x:v>
      </x:c>
      <x:c r="F83" s="143" t="str">
        <x:v>State Council of the People's Republic of China</x:v>
      </x:c>
      <x:c r="G83" s="143" t="str">
        <x:v>https://english.www.gov.cn/policies/</x:v>
      </x:c>
      <x:c r="H83" s="143" t="str">
        <x:v>https://english.www.gov.cn/policies/</x:v>
      </x:c>
      <x:c r="I83" s="142" t="n">
        <x:v>5</x:v>
      </x:c>
      <x:c r="J83" s="142" t="str">
        <x:v>No</x:v>
      </x:c>
      <x:c r="K83" s="143" t="str">
        <x:v>Official English-language State Council policy listing.</x:v>
      </x:c>
      <x:c r="L83" s="142" t="str">
        <x:v>S</x:v>
      </x:c>
      <x:c r="M83" s="142" t="str">
        <x:v>Daily</x:v>
      </x:c>
      <x:c r="N83" s="143" t="str"/>
    </x:row>
    <x:row r="84">
      <x:c r="A84" s="142" t="str">
        <x:v>Yes</x:v>
      </x:c>
      <x:c r="B84" s="143" t="str">
        <x:v>Asia</x:v>
      </x:c>
      <x:c r="C84" s="143" t="str">
        <x:v>South Korea</x:v>
      </x:c>
      <x:c r="D84" s="143" t="str">
        <x:v>Science, technology, AI, R&amp;D funding and national innovation policy</x:v>
      </x:c>
      <x:c r="E84" s="143" t="str">
        <x:v>Korea MSIT Press Releases</x:v>
      </x:c>
      <x:c r="F84" s="143" t="str">
        <x:v>Ministry of Science and ICT</x:v>
      </x:c>
      <x:c r="G84" s="143" t="str">
        <x:v>https://www.msit.go.kr/eng/bbs/list.do?mId=4&amp;mPid=2&amp;sCode=eng</x:v>
      </x:c>
      <x:c r="H84" s="143" t="str">
        <x:v>https://www.msit.go.kr/eng/</x:v>
      </x:c>
      <x:c r="I84" s="142" t="n">
        <x:v>5</x:v>
      </x:c>
      <x:c r="J84" s="142" t="str">
        <x:v>No</x:v>
      </x:c>
      <x:c r="K84" s="143" t="str">
        <x:v>Official Korean science, technology and ICT policy releases.</x:v>
      </x:c>
      <x:c r="L84" s="142" t="str">
        <x:v>S</x:v>
      </x:c>
      <x:c r="M84" s="142" t="str">
        <x:v>Daily</x:v>
      </x:c>
      <x:c r="N84" s="143" t="str">
        <x:v>Artificial Intelligence</x:v>
      </x:c>
    </x:row>
    <x:row r="85">
      <x:c r="A85" s="142" t="str">
        <x:v>Yes</x:v>
      </x:c>
      <x:c r="B85" s="143" t="str">
        <x:v>EU &amp; Europe</x:v>
      </x:c>
      <x:c r="C85" s="143" t="str">
        <x:v>European Union</x:v>
      </x:c>
      <x:c r="D85" s="143" t="str">
        <x:v>Deep-tech R&amp;D funding, commercialization and innovation policy</x:v>
      </x:c>
      <x:c r="E85" s="143" t="str">
        <x:v>European Innovation Council News</x:v>
      </x:c>
      <x:c r="F85" s="143" t="str">
        <x:v>European Innovation Council</x:v>
      </x:c>
      <x:c r="G85" s="143" t="str">
        <x:v>https://eic.ec.europa.eu/news_en</x:v>
      </x:c>
      <x:c r="H85" s="143" t="str">
        <x:v>https://eic.ec.europa.eu/news_en</x:v>
      </x:c>
      <x:c r="I85" s="142" t="n">
        <x:v>5</x:v>
      </x:c>
      <x:c r="J85" s="142" t="str">
        <x:v>No</x:v>
      </x:c>
      <x:c r="K85" s="143" t="str">
        <x:v>Official EIC funding, work-programme and deep-tech policy updates.</x:v>
      </x:c>
      <x:c r="L85" s="142" t="str">
        <x:v>S</x:v>
      </x:c>
      <x:c r="M85" s="142" t="str">
        <x:v>Daily</x:v>
      </x:c>
      <x:c r="N85" s="143" t="str"/>
    </x:row>
    <x:row r="86">
      <x:c r="A86" s="142" t="str">
        <x:v>Yes</x:v>
      </x:c>
      <x:c r="B86" s="143" t="str">
        <x:v>Middle East</x:v>
      </x:c>
      <x:c r="C86" s="143" t="str">
        <x:v>United Arab Emirates</x:v>
      </x:c>
      <x:c r="D86" s="143" t="str">
        <x:v>AI, quantum, autonomous systems and national R&amp;D programs</x:v>
      </x:c>
      <x:c r="E86" s="143" t="str">
        <x:v>UAE Advanced Technology Research Council</x:v>
      </x:c>
      <x:c r="F86" s="143" t="str">
        <x:v>Advanced Technology Research Council</x:v>
      </x:c>
      <x:c r="G86" s="143" t="str">
        <x:v>https://www.atrc.gov.ae/news</x:v>
      </x:c>
      <x:c r="H86" s="143" t="str">
        <x:v>https://www.atrc.gov.ae/news</x:v>
      </x:c>
      <x:c r="I86" s="142" t="n">
        <x:v>5</x:v>
      </x:c>
      <x:c r="J86" s="142" t="str">
        <x:v>No</x:v>
      </x:c>
      <x:c r="K86" s="143" t="str">
        <x:v>Official Abu Dhabi advanced-technology R&amp;D authority.</x:v>
      </x:c>
      <x:c r="L86" s="142" t="str">
        <x:v>S</x:v>
      </x:c>
      <x:c r="M86" s="142" t="str">
        <x:v>Daily</x:v>
      </x:c>
      <x:c r="N86" s="143" t="str">
        <x:v>Artificial Intelligence | Robotics | Quantum</x:v>
      </x:c>
    </x:row>
    <x:row r="87">
      <x:c r="A87" s="142" t="str">
        <x:v>Yes</x:v>
      </x:c>
      <x:c r="B87" s="143" t="str">
        <x:v>Middle East</x:v>
      </x:c>
      <x:c r="C87" s="143" t="str">
        <x:v>Saudi Arabia</x:v>
      </x:c>
      <x:c r="D87" s="143" t="str">
        <x:v>National research, development, innovation funding and infrastructure</x:v>
      </x:c>
      <x:c r="E87" s="143" t="str">
        <x:v>Saudi Research, Development and Innovation Authority</x:v>
      </x:c>
      <x:c r="F87" s="143" t="str">
        <x:v>Research, Development and Innovation Authority</x:v>
      </x:c>
      <x:c r="G87" s="143" t="str">
        <x:v>https://www.rdia.gov.sa/en/media-center/news/</x:v>
      </x:c>
      <x:c r="H87" s="143" t="str">
        <x:v>https://www.rdia.gov.sa/en/</x:v>
      </x:c>
      <x:c r="I87" s="142" t="n">
        <x:v>5</x:v>
      </x:c>
      <x:c r="J87" s="142" t="str">
        <x:v>No</x:v>
      </x:c>
      <x:c r="K87" s="143" t="str">
        <x:v>Official Saudi R&amp;D and innovation authority.</x:v>
      </x:c>
      <x:c r="L87" s="142" t="str">
        <x:v>S</x:v>
      </x:c>
      <x:c r="M87" s="142" t="str">
        <x:v>Daily</x:v>
      </x:c>
      <x:c r="N87" s="143" t="str"/>
    </x:row>
    <x:row r="88">
      <x:c r="A88" s="142" t="str">
        <x:v>Yes</x:v>
      </x:c>
      <x:c r="B88" s="143" t="str">
        <x:v>Middle East</x:v>
      </x:c>
      <x:c r="C88" s="143" t="str">
        <x:v>Israel</x:v>
      </x:c>
      <x:c r="D88" s="143" t="str">
        <x:v>R&amp;D funding, technology commercialization and national innovation programs</x:v>
      </x:c>
      <x:c r="E88" s="143" t="str">
        <x:v>Israel Innovation Authority</x:v>
      </x:c>
      <x:c r="F88" s="143" t="str">
        <x:v>Israel Innovation Authority</x:v>
      </x:c>
      <x:c r="G88" s="143" t="str">
        <x:v>https://innovationisrael.org.il/en/press_release/</x:v>
      </x:c>
      <x:c r="H88" s="143" t="str">
        <x:v>https://innovationisrael.org.il/en/press_release/</x:v>
      </x:c>
      <x:c r="I88" s="142" t="n">
        <x:v>5</x:v>
      </x:c>
      <x:c r="J88" s="142" t="str">
        <x:v>No</x:v>
      </x:c>
      <x:c r="K88" s="143" t="str">
        <x:v>Official national innovation and industrial R&amp;D funding authority.</x:v>
      </x:c>
      <x:c r="L88" s="142" t="str">
        <x:v>S</x:v>
      </x:c>
      <x:c r="M88" s="142" t="str">
        <x:v>Daily</x:v>
      </x:c>
      <x:c r="N88" s="143" t="str"/>
    </x:row>
    <x:row r="89">
      <x:c r="A89" s="142" t="str">
        <x:v>Yes</x:v>
      </x:c>
      <x:c r="B89" s="143" t="str">
        <x:v>Middle East</x:v>
      </x:c>
      <x:c r="C89" s="143" t="str">
        <x:v>United Arab Emirates</x:v>
      </x:c>
      <x:c r="D89" s="143" t="str">
        <x:v>Advanced technology, industrial policy and technology adoption</x:v>
      </x:c>
      <x:c r="E89" s="143" t="str">
        <x:v>UAE Ministry of Industry and Advanced Technology</x:v>
      </x:c>
      <x:c r="F89" s="143" t="str">
        <x:v>Ministry of Industry and Advanced Technology</x:v>
      </x:c>
      <x:c r="G89" s="143" t="str">
        <x:v>https://moiat.gov.ae/en/media-center/news</x:v>
      </x:c>
      <x:c r="H89" s="143" t="str">
        <x:v>https://moiat.gov.ae/en/media-center/news</x:v>
      </x:c>
      <x:c r="I89" s="142" t="n">
        <x:v>4</x:v>
      </x:c>
      <x:c r="J89" s="142" t="str">
        <x:v>No</x:v>
      </x:c>
      <x:c r="K89" s="143" t="str">
        <x:v>Official UAE advanced-technology and industrial-policy news.</x:v>
      </x:c>
      <x:c r="L89" s="142" t="str">
        <x:v>A</x:v>
      </x:c>
      <x:c r="M89" s="142" t="str">
        <x:v>Daily</x:v>
      </x:c>
      <x:c r="N89" s="143" t="str"/>
    </x:row>
    <x:row r="90">
      <x:c r="A90" s="142" t="str">
        <x:v>Yes</x:v>
      </x:c>
      <x:c r="B90" s="143" t="str">
        <x:v>Asia</x:v>
      </x:c>
      <x:c r="C90" s="143" t="str">
        <x:v>South Korea</x:v>
      </x:c>
      <x:c r="D90" s="143" t="str">
        <x:v>Science, technology and innovation policy, national R&amp;D strategy and evaluation</x:v>
      </x:c>
      <x:c r="E90" s="143" t="str">
        <x:v>KISTEP</x:v>
      </x:c>
      <x:c r="F90" s="143" t="str">
        <x:v>Korea Institute of S&amp;T Evaluation and Planning</x:v>
      </x:c>
      <x:c r="G90" s="143" t="str">
        <x:v>https://www.kistep.re.kr/board.es?mid=a20501000000&amp;bid=0051</x:v>
      </x:c>
      <x:c r="H90" s="143" t="str">
        <x:v>https://www.kistep.re.kr/</x:v>
      </x:c>
      <x:c r="I90" s="142" t="n">
        <x:v>5</x:v>
      </x:c>
      <x:c r="J90" s="142" t="str">
        <x:v>No</x:v>
      </x:c>
      <x:c r="K90" s="143" t="str">
        <x:v>Official KISTEP updates on national R&amp;D strategy and science and technology policy.</x:v>
      </x:c>
      <x:c r="L90" s="142" t="str">
        <x:v>S</x:v>
      </x:c>
      <x:c r="M90" s="142" t="str">
        <x:v>Daily</x:v>
      </x:c>
      <x:c r="N90" s="143" t="str">
        <x:v>Artificial Intelligence | Robotics | Semiconductors &amp; Telecom | Quantum | Fusion Energy | Biotechnology | Healthcare | Space</x:v>
      </x:c>
    </x:row>
    <x:row r="91">
      <x:c r="A91" s="142" t="str">
        <x:v>Yes</x:v>
      </x:c>
      <x:c r="B91" s="143" t="str">
        <x:v>Asia</x:v>
      </x:c>
      <x:c r="C91" s="143" t="str">
        <x:v>South Korea</x:v>
      </x:c>
      <x:c r="D91" s="143" t="str">
        <x:v>Science, technology and innovation policy research</x:v>
      </x:c>
      <x:c r="E91" s="143" t="str">
        <x:v>STEPI</x:v>
      </x:c>
      <x:c r="F91" s="143" t="str">
        <x:v>Science and Technology Policy Institute</x:v>
      </x:c>
      <x:c r="G91" s="143" t="str">
        <x:v>https://www.stepi.re.kr/site/stepien/ex/bbs/List.do?cbIdx=1303</x:v>
      </x:c>
      <x:c r="H91" s="143" t="str">
        <x:v>https://www.stepi.re.kr/</x:v>
      </x:c>
      <x:c r="I91" s="142" t="n">
        <x:v>5</x:v>
      </x:c>
      <x:c r="J91" s="142" t="str">
        <x:v>No</x:v>
      </x:c>
      <x:c r="K91" s="143" t="str">
        <x:v>Official STEPI policy-report listing.</x:v>
      </x:c>
      <x:c r="L91" s="142" t="str">
        <x:v>S</x:v>
      </x:c>
      <x:c r="M91" s="142" t="str">
        <x:v>Daily</x:v>
      </x:c>
      <x:c r="N91" s="143" t="str">
        <x:v>Artificial Intelligence | Robotics | Semiconductors &amp; Telecom | Quantum | Fusion Energy | Biotechnology | Healthcare | Space</x:v>
      </x:c>
    </x:row>
    <x:row r="92">
      <x:c r="A92" s="142" t="str">
        <x:v>Yes</x:v>
      </x:c>
      <x:c r="B92" s="143" t="str">
        <x:v>Asia</x:v>
      </x:c>
      <x:c r="C92" s="143" t="str">
        <x:v>South Korea</x:v>
      </x:c>
      <x:c r="D92" s="143" t="str">
        <x:v>AI, robotics, quantum, semiconductors, biotechnology and energy research results</x:v>
      </x:c>
      <x:c r="E92" s="143" t="str">
        <x:v>KIST</x:v>
      </x:c>
      <x:c r="F92" s="143" t="str">
        <x:v>Korea Institute of Science and Technology</x:v>
      </x:c>
      <x:c r="G92" s="143" t="str">
        <x:v>https://kist.re.kr/ko/news/latest-research-results.do</x:v>
      </x:c>
      <x:c r="H92" s="143" t="str">
        <x:v>https://kist.re.kr/</x:v>
      </x:c>
      <x:c r="I92" s="142" t="n">
        <x:v>5</x:v>
      </x:c>
      <x:c r="J92" s="142" t="str">
        <x:v>No</x:v>
      </x:c>
      <x:c r="K92" s="143" t="str">
        <x:v>Official KIST latest research results.</x:v>
      </x:c>
      <x:c r="L92" s="142" t="str">
        <x:v>S</x:v>
      </x:c>
      <x:c r="M92" s="142" t="str">
        <x:v>Daily</x:v>
      </x:c>
      <x:c r="N92" s="143" t="str">
        <x:v>Artificial Intelligence | Robotics | Semiconductors &amp; Telecom | Quantum | Fusion Energy | Biotechnology | Healthcare</x:v>
      </x:c>
    </x:row>
    <x:row r="93">
      <x:c r="A93" s="142" t="str">
        <x:v>Yes</x:v>
      </x:c>
      <x:c r="B93" s="143" t="str">
        <x:v>Asia</x:v>
      </x:c>
      <x:c r="C93" s="143" t="str">
        <x:v>South Korea</x:v>
      </x:c>
      <x:c r="D93" s="143" t="str">
        <x:v>AI, 6G, semiconductors, robotics and telecommunications R&amp;D</x:v>
      </x:c>
      <x:c r="E93" s="143" t="str">
        <x:v>ETRI</x:v>
      </x:c>
      <x:c r="F93" s="143" t="str">
        <x:v>Electronics and Telecommunications Research Institute</x:v>
      </x:c>
      <x:c r="G93" s="143" t="str">
        <x:v>https://www.etri.re.kr/eng/bbs/list.etri?b_board_id=ENG02</x:v>
      </x:c>
      <x:c r="H93" s="143" t="str">
        <x:v>https://www.etri.re.kr/eng/</x:v>
      </x:c>
      <x:c r="I93" s="142" t="n">
        <x:v>4</x:v>
      </x:c>
      <x:c r="J93" s="142" t="str">
        <x:v>No</x:v>
      </x:c>
      <x:c r="K93" s="143" t="str">
        <x:v>Official ETRI English news; A-tier because the English archive updates less frequently.</x:v>
      </x:c>
      <x:c r="L93" s="142" t="str">
        <x:v>A</x:v>
      </x:c>
      <x:c r="M93" s="142" t="str">
        <x:v>Daily</x:v>
      </x:c>
      <x:c r="N93" s="143" t="str">
        <x:v>Artificial Intelligence | Semiconductors &amp; Telecom | Robotics | Quantum</x:v>
      </x:c>
    </x:row>
    <x:row r="94">
      <x:c r="A94" s="142" t="str">
        <x:v>Yes</x:v>
      </x:c>
      <x:c r="B94" s="143" t="str">
        <x:v>Asia</x:v>
      </x:c>
      <x:c r="C94" s="143" t="str">
        <x:v>South Korea</x:v>
      </x:c>
      <x:c r="D94" s="143" t="str">
        <x:v>Industrial R&amp;D programs, funding, selection, investment and technology policy</x:v>
      </x:c>
      <x:c r="E94" s="143" t="str">
        <x:v>KEIT</x:v>
      </x:c>
      <x:c r="F94" s="143" t="str">
        <x:v>Korea Planning &amp; Evaluation Institute of Industrial Technology</x:v>
      </x:c>
      <x:c r="G94" s="143" t="str">
        <x:v>https://www.keit.re.kr/gallery.es?bid=0004&amp;mid=a10202010000</x:v>
      </x:c>
      <x:c r="H94" s="143" t="str">
        <x:v>https://www.keit.re.kr/</x:v>
      </x:c>
      <x:c r="I94" s="142" t="n">
        <x:v>4</x:v>
      </x:c>
      <x:c r="J94" s="142" t="str">
        <x:v>No</x:v>
      </x:c>
      <x:c r="K94" s="143" t="str">
        <x:v>Official KEIT releases with strict national-R&amp;D and monitored-technology filtering.</x:v>
      </x:c>
      <x:c r="L94" s="142" t="str">
        <x:v>A</x:v>
      </x:c>
      <x:c r="M94" s="142" t="str">
        <x:v>Daily</x:v>
      </x:c>
      <x:c r="N94" s="143" t="str">
        <x:v>Artificial Intelligence | Robotics | Semiconductors &amp; Telecom | Quantum | Biotechnology | Healthcare | Space</x:v>
      </x:c>
    </x:row>
    <x:row r="95">
      <x:c r="A95" s="142" t="str">
        <x:v>Yes</x:v>
      </x:c>
      <x:c r="B95" s="143" t="str">
        <x:v>Asia</x:v>
      </x:c>
      <x:c r="C95" s="143" t="str">
        <x:v>Taiwan</x:v>
      </x:c>
      <x:c r="D95" s="143" t="str">
        <x:v>Semiconductors, 6G, AI, robotics, quantum, biotechnology and industrial R&amp;D</x:v>
      </x:c>
      <x:c r="E95" s="143" t="str">
        <x:v>ITRI</x:v>
      </x:c>
      <x:c r="F95" s="143" t="str">
        <x:v>Industrial Technology Research Institute</x:v>
      </x:c>
      <x:c r="G95" s="143" t="str">
        <x:v>https://www.itri.org.tw/english/ListStyle.aspx?DisplayStyle=06&amp;MmmID=617731531241750114&amp;SiteID=1</x:v>
      </x:c>
      <x:c r="H95" s="143" t="str">
        <x:v>https://www.itri.org.tw/english/</x:v>
      </x:c>
      <x:c r="I95" s="142" t="n">
        <x:v>5</x:v>
      </x:c>
      <x:c r="J95" s="142" t="str">
        <x:v>No</x:v>
      </x:c>
      <x:c r="K95" s="143" t="str">
        <x:v>Official ITRI latest news.</x:v>
      </x:c>
      <x:c r="L95" s="142" t="str">
        <x:v>S</x:v>
      </x:c>
      <x:c r="M95" s="142" t="str">
        <x:v>Daily</x:v>
      </x:c>
      <x:c r="N95" s="143" t="str">
        <x:v>Artificial Intelligence | Robotics | Semiconductors &amp; Telecom | Quantum | Biotechnology | Healthcare</x:v>
      </x:c>
    </x:row>
    <x:row r="96">
      <x:c r="A96" s="142" t="str">
        <x:v>Yes</x:v>
      </x:c>
      <x:c r="B96" s="143" t="str">
        <x:v>Asia</x:v>
      </x:c>
      <x:c r="C96" s="143" t="str">
        <x:v>Taiwan</x:v>
      </x:c>
      <x:c r="D96" s="143" t="str">
        <x:v>Science policy, R&amp;D funding, international collaboration and research results</x:v>
      </x:c>
      <x:c r="E96" s="143" t="str">
        <x:v>Taiwan NSTC</x:v>
      </x:c>
      <x:c r="F96" s="143" t="str">
        <x:v>National Science and Technology Council, Taiwan</x:v>
      </x:c>
      <x:c r="G96" s="143" t="str">
        <x:v>https://www.nstc.gov.tw/folksonomy/list/eb9eb136-4319-40d6-abd3-0788bea0d3a8?l=en</x:v>
      </x:c>
      <x:c r="H96" s="143" t="str">
        <x:v>https://www.nstc.gov.tw/?l=en</x:v>
      </x:c>
      <x:c r="I96" s="142" t="n">
        <x:v>5</x:v>
      </x:c>
      <x:c r="J96" s="142" t="str">
        <x:v>No</x:v>
      </x:c>
      <x:c r="K96" s="143" t="str">
        <x:v>Official Taiwan NSTC research and policy updates.</x:v>
      </x:c>
      <x:c r="L96" s="142" t="str">
        <x:v>S</x:v>
      </x:c>
      <x:c r="M96" s="142" t="str">
        <x:v>Daily</x:v>
      </x:c>
      <x:c r="N96" s="143" t="str">
        <x:v>Artificial Intelligence | Robotics | Semiconductors &amp; Telecom | Quantum | Fusion Energy | Biotechnology | Healthcare | Space</x:v>
      </x:c>
    </x:row>
    <x:row r="97">
      <x:c r="A97" s="142" t="str">
        <x:v>Yes</x:v>
      </x:c>
      <x:c r="B97" s="143" t="str">
        <x:v>Asia</x:v>
      </x:c>
      <x:c r="C97" s="143" t="str">
        <x:v>Singapore</x:v>
      </x:c>
      <x:c r="D97" s="143" t="str">
        <x:v>National R&amp;D strategy, research funding, AI for science and innovation policy</x:v>
      </x:c>
      <x:c r="E97" s="143" t="str">
        <x:v>NRF Singapore</x:v>
      </x:c>
      <x:c r="F97" s="143" t="str">
        <x:v>National Research Foundation Singapore</x:v>
      </x:c>
      <x:c r="G97" s="143" t="str">
        <x:v>https://www.nrf.gov.sg/Resources/press-releases/</x:v>
      </x:c>
      <x:c r="H97" s="143" t="str">
        <x:v>https://www.nrf.gov.sg/</x:v>
      </x:c>
      <x:c r="I97" s="142" t="n">
        <x:v>5</x:v>
      </x:c>
      <x:c r="J97" s="142" t="str">
        <x:v>No</x:v>
      </x:c>
      <x:c r="K97" s="143" t="str">
        <x:v>Official NRF Singapore press-release documents.</x:v>
      </x:c>
      <x:c r="L97" s="142" t="str">
        <x:v>S</x:v>
      </x:c>
      <x:c r="M97" s="142" t="str">
        <x:v>Daily</x:v>
      </x:c>
      <x:c r="N97" s="143" t="str">
        <x:v>Artificial Intelligence | Robotics | Semiconductors &amp; Telecom | Quantum | Biotechnology | Healthcare | Space</x:v>
      </x:c>
    </x:row>
    <x:row r="98">
      <x:c r="A98" s="142" t="str">
        <x:v>Yes</x:v>
      </x:c>
      <x:c r="B98" s="143" t="str">
        <x:v>Asia</x:v>
      </x:c>
      <x:c r="C98" s="143" t="str">
        <x:v>China</x:v>
      </x:c>
      <x:c r="D98" s="143" t="str">
        <x:v>National science, technology, research and innovation policy</x:v>
      </x:c>
      <x:c r="E98" s="143" t="str">
        <x:v>China MOST</x:v>
      </x:c>
      <x:c r="F98" s="143" t="str">
        <x:v>Ministry of Science and Technology of the People's Republic of China</x:v>
      </x:c>
      <x:c r="G98" s="143" t="str">
        <x:v>https://en.most.gov.cn/pressroom/</x:v>
      </x:c>
      <x:c r="H98" s="143" t="str">
        <x:v>https://en.most.gov.cn/</x:v>
      </x:c>
      <x:c r="I98" s="142" t="n">
        <x:v>5</x:v>
      </x:c>
      <x:c r="J98" s="142" t="str">
        <x:v>No</x:v>
      </x:c>
      <x:c r="K98" s="143" t="str">
        <x:v>Official English-language China MOST press room.</x:v>
      </x:c>
      <x:c r="L98" s="142" t="str">
        <x:v>S</x:v>
      </x:c>
      <x:c r="M98" s="142" t="str">
        <x:v>Daily</x:v>
      </x:c>
      <x:c r="N98" s="143" t="str">
        <x:v>Artificial Intelligence | Robotics | Semiconductors &amp; Telecom | Quantum | Fusion Energy | Biotechnology | Healthcare | Space</x:v>
      </x:c>
    </x:row>
    <x:row r="99">
      <x:c r="A99" s="142" t="str">
        <x:v>Yes</x:v>
      </x:c>
      <x:c r="B99" s="143" t="str">
        <x:v>Asia</x:v>
      </x:c>
      <x:c r="C99" s="143" t="str">
        <x:v>China</x:v>
      </x:c>
      <x:c r="D99" s="143" t="str">
        <x:v>Research results across AI, robotics, semiconductors, quantum, fusion, biotechnology, healthcare and space</x:v>
      </x:c>
      <x:c r="E99" s="143" t="str">
        <x:v>Chinese Academy of Sciences</x:v>
      </x:c>
      <x:c r="F99" s="143" t="str">
        <x:v>Chinese Academy of Sciences</x:v>
      </x:c>
      <x:c r="G99" s="143" t="str">
        <x:v>https://english.cas.cn/newsroom/research-news/</x:v>
      </x:c>
      <x:c r="H99" s="143" t="str">
        <x:v>https://english.cas.cn/</x:v>
      </x:c>
      <x:c r="I99" s="142" t="n">
        <x:v>5</x:v>
      </x:c>
      <x:c r="J99" s="142" t="str">
        <x:v>No</x:v>
      </x:c>
      <x:c r="K99" s="143" t="str">
        <x:v>Official CAS research-news listing.</x:v>
      </x:c>
      <x:c r="L99" s="142" t="str">
        <x:v>S</x:v>
      </x:c>
      <x:c r="M99" s="142" t="str">
        <x:v>Daily</x:v>
      </x:c>
      <x:c r="N99" s="143" t="str">
        <x:v>Artificial Intelligence | Robotics | Semiconductors &amp; Telecom | Quantum | Fusion Energy | Biotechnology | Healthcare | Space</x:v>
      </x:c>
    </x:row>
    <x:row r="100">
      <x:c r="A100" s="142" t="str">
        <x:v>Yes</x:v>
      </x:c>
      <x:c r="B100" s="143" t="str">
        <x:v>Asia</x:v>
      </x:c>
      <x:c r="C100" s="143" t="str">
        <x:v>China</x:v>
      </x:c>
      <x:c r="D100" s="143" t="str">
        <x:v>Research funding, grant results and scientific developments</x:v>
      </x:c>
      <x:c r="E100" s="143" t="str">
        <x:v>NSFC</x:v>
      </x:c>
      <x:c r="F100" s="143" t="str">
        <x:v>National Natural Science Foundation of China</x:v>
      </x:c>
      <x:c r="G100" s="143" t="str">
        <x:v>https://www.nsfc.gov.cn/english/site_1/news/A2/index.html</x:v>
      </x:c>
      <x:c r="H100" s="143" t="str">
        <x:v>https://www.nsfc.gov.cn/english/site_1/</x:v>
      </x:c>
      <x:c r="I100" s="142" t="n">
        <x:v>5</x:v>
      </x:c>
      <x:c r="J100" s="142" t="str">
        <x:v>No</x:v>
      </x:c>
      <x:c r="K100" s="143" t="str">
        <x:v>Official NSFC research and funding news.</x:v>
      </x:c>
      <x:c r="L100" s="142" t="str">
        <x:v>S</x:v>
      </x:c>
      <x:c r="M100" s="142" t="str">
        <x:v>Daily</x:v>
      </x:c>
      <x:c r="N100" s="143" t="str">
        <x:v>Artificial Intelligence | Robotics | Semiconductors &amp; Telecom | Quantum | Fusion Energy | Biotechnology | Healthcare | Space</x:v>
      </x:c>
    </x:row>
    <x:row r="101">
      <x:c r="A101" s="142" t="str">
        <x:v>Yes</x:v>
      </x:c>
      <x:c r="B101" s="143" t="str">
        <x:v>Asia</x:v>
      </x:c>
      <x:c r="C101" s="143" t="str">
        <x:v>India</x:v>
      </x:c>
      <x:c r="D101" s="143" t="str">
        <x:v>Space missions, launch, satellites, engineering, research and technology</x:v>
      </x:c>
      <x:c r="E101" s="143" t="str">
        <x:v>ISRO</x:v>
      </x:c>
      <x:c r="F101" s="143" t="str">
        <x:v>Indian Space Research Organisation</x:v>
      </x:c>
      <x:c r="G101" s="143" t="str">
        <x:v>https://www.isro.gov.in/</x:v>
      </x:c>
      <x:c r="H101" s="143" t="str">
        <x:v>https://www.isro.gov.in/</x:v>
      </x:c>
      <x:c r="I101" s="142" t="n">
        <x:v>5</x:v>
      </x:c>
      <x:c r="J101" s="142" t="str">
        <x:v>No</x:v>
      </x:c>
      <x:c r="K101" s="143" t="str">
        <x:v>Official ISRO homepage latest-news links with title filtering to remove recruitment, tenders and student notices.</x:v>
      </x:c>
      <x:c r="L101" s="142" t="str">
        <x:v>S</x:v>
      </x:c>
      <x:c r="M101" s="142" t="str">
        <x:v>Daily</x:v>
      </x:c>
      <x:c r="N101" s="143" t="str">
        <x:v>Space | Robotics | Semiconductors &amp; Telecom | Artificial Intelligence</x:v>
      </x:c>
    </x:row>
    <x:row r="102">
      <x:c r="A102" s="142" t="str">
        <x:v>Yes</x:v>
      </x:c>
      <x:c r="B102" s="143" t="str">
        <x:v>Asia</x:v>
      </x:c>
      <x:c r="C102" s="143" t="str">
        <x:v>Australia</x:v>
      </x:c>
      <x:c r="D102" s="143" t="str">
        <x:v>National research results, AI, robotics, quantum, biotechnology, healthcare and space</x:v>
      </x:c>
      <x:c r="E102" s="143" t="str">
        <x:v>CSIRO</x:v>
      </x:c>
      <x:c r="F102" s="143" t="str">
        <x:v>Commonwealth Scientific and Industrial Research Organisation</x:v>
      </x:c>
      <x:c r="G102" s="143" t="str">
        <x:v>https://www.csiro.au/en/news/All</x:v>
      </x:c>
      <x:c r="H102" s="143" t="str">
        <x:v>https://www.csiro.au/</x:v>
      </x:c>
      <x:c r="I102" s="142" t="n">
        <x:v>5</x:v>
      </x:c>
      <x:c r="J102" s="142" t="str">
        <x:v>No</x:v>
      </x:c>
      <x:c r="K102" s="143" t="str">
        <x:v>Official CSIRO news and articles; official sitemap fallback handles the dynamic listing.</x:v>
      </x:c>
      <x:c r="L102" s="142" t="str">
        <x:v>S</x:v>
      </x:c>
      <x:c r="M102" s="142" t="str">
        <x:v>Daily</x:v>
      </x:c>
      <x:c r="N102" s="143" t="str">
        <x:v>Artificial Intelligence | Robotics | Semiconductors &amp; Telecom | Quantum | Fusion Energy | Biotechnology | Healthcare | Space</x:v>
      </x:c>
    </x:row>
    <x:row r="103">
      <x:c r="A103" s="142" t="str">
        <x:v>Yes</x:v>
      </x:c>
      <x:c r="B103" s="143" t="str">
        <x:v>Asia</x:v>
      </x:c>
      <x:c r="C103" s="143" t="str">
        <x:v>Australia</x:v>
      </x:c>
      <x:c r="D103" s="143" t="str">
        <x:v>Research funding, grant policy, program changes and research investment</x:v>
      </x:c>
      <x:c r="E103" s="143" t="str">
        <x:v>Australian Research Council</x:v>
      </x:c>
      <x:c r="F103" s="143" t="str">
        <x:v>Australian Research Council</x:v>
      </x:c>
      <x:c r="G103" s="143" t="str">
        <x:v>https://www.arc.gov.au/news-and-publications/media/media-releases</x:v>
      </x:c>
      <x:c r="H103" s="143" t="str">
        <x:v>https://www.arc.gov.au/</x:v>
      </x:c>
      <x:c r="I103" s="142" t="n">
        <x:v>4</x:v>
      </x:c>
      <x:c r="J103" s="142" t="str">
        <x:v>No</x:v>
      </x:c>
      <x:c r="K103" s="143" t="str">
        <x:v>Official ARC media releases with strict funding and program filtering.</x:v>
      </x:c>
      <x:c r="L103" s="142" t="str">
        <x:v>A</x:v>
      </x:c>
      <x:c r="M103" s="142" t="str">
        <x:v>Daily</x:v>
      </x:c>
      <x:c r="N103" s="143" t="str">
        <x:v>Artificial Intelligence | Robotics | Semiconductors &amp; Telecom | Quantum | Fusion Energy | Biotechnology | Healthcare | Space</x:v>
      </x:c>
    </x:row>
    <x:row r="104">
      <x:c r="A104" s="142" t="str">
        <x:v>Yes</x:v>
      </x:c>
      <x:c r="B104" s="143" t="str">
        <x:v>Global</x:v>
      </x:c>
      <x:c r="C104" s="143" t="str">
        <x:v>Canada</x:v>
      </x:c>
      <x:c r="D104" s="143" t="str">
        <x:v>National applied research, industrial R&amp;D and technology commercialization</x:v>
      </x:c>
      <x:c r="E104" s="143" t="str">
        <x:v>NRC Canada</x:v>
      </x:c>
      <x:c r="F104" s="143" t="str">
        <x:v>National Research Council Canada</x:v>
      </x:c>
      <x:c r="G104" s="143" t="str">
        <x:v>https://nrc.canada.ca/en/stories</x:v>
      </x:c>
      <x:c r="H104" s="143" t="str">
        <x:v>https://nrc.canada.ca/en</x:v>
      </x:c>
      <x:c r="I104" s="142" t="n">
        <x:v>5</x:v>
      </x:c>
      <x:c r="J104" s="142" t="str">
        <x:v>No</x:v>
      </x:c>
      <x:c r="K104" s="143" t="str">
        <x:v>Official National Research Council Canada stories.</x:v>
      </x:c>
      <x:c r="L104" s="142" t="str">
        <x:v>S</x:v>
      </x:c>
      <x:c r="M104" s="142" t="str">
        <x:v>Daily</x:v>
      </x:c>
      <x:c r="N104" s="143" t="str">
        <x:v>Artificial Intelligence | Robotics | Semiconductors &amp; Telecom | Quantum | Biotechnology | Healthcare | Space</x:v>
      </x:c>
    </x:row>
    <x:row r="105">
      <x:c r="A105" s="142" t="str">
        <x:v>Yes</x:v>
      </x:c>
      <x:c r="B105" s="143" t="str">
        <x:v>Global</x:v>
      </x:c>
      <x:c r="C105" s="143" t="str">
        <x:v>Canada</x:v>
      </x:c>
      <x:c r="D105" s="143" t="str">
        <x:v>Innovation, science, industrial, competition, spectrum and technology policy</x:v>
      </x:c>
      <x:c r="E105" s="143" t="str">
        <x:v>ISED Canada</x:v>
      </x:c>
      <x:c r="F105" s="143" t="str">
        <x:v>Innovation, Science and Economic Development Canada</x:v>
      </x:c>
      <x:c r="G105" s="143" t="str">
        <x:v>https://api.io.canada.ca/io-server/gc/news/en/v2?atomtitle=Innovation%2C+Science+and+Economic+Development+Canada&amp;dept=departmentofindustry&amp;format=atom&amp;orderBy=desc&amp;pick=50&amp;publishedDate%3E=2021-07-23&amp;sort=publishedDate</x:v>
      </x:c>
      <x:c r="H105" s="143" t="str">
        <x:v>https://ised-isde.canada.ca/site/ised/en</x:v>
      </x:c>
      <x:c r="I105" s="142" t="n">
        <x:v>5</x:v>
      </x:c>
      <x:c r="J105" s="142" t="str">
        <x:v>Yes</x:v>
      </x:c>
      <x:c r="K105" s="143" t="str">
        <x:v>Official Canada.ca department-specific Atom feed.</x:v>
      </x:c>
      <x:c r="L105" s="142" t="str">
        <x:v>S</x:v>
      </x:c>
      <x:c r="M105" s="142" t="str">
        <x:v>Daily</x:v>
      </x:c>
      <x:c r="N105" s="143" t="str">
        <x:v>Artificial Intelligence | Robotics | Semiconductors &amp; Telecom | Quantum | Biotechnology | Space</x:v>
      </x:c>
    </x:row>
    <x:row r="106">
      <x:c r="A106" s="142" t="str">
        <x:v>Yes</x:v>
      </x:c>
      <x:c r="B106" s="143" t="str">
        <x:v>Middle East</x:v>
      </x:c>
      <x:c r="C106" s="143" t="str">
        <x:v>Saudi Arabia</x:v>
      </x:c>
      <x:c r="D106" s="143" t="str">
        <x:v>Research, technology transfer, AI, robotics, semiconductors, quantum, biotechnology and energy</x:v>
      </x:c>
      <x:c r="E106" s="143" t="str">
        <x:v>KAUST</x:v>
      </x:c>
      <x:c r="F106" s="143" t="str">
        <x:v>King Abdullah University of Science and Technology</x:v>
      </x:c>
      <x:c r="G106" s="143" t="str">
        <x:v>https://www.kaust.edu.sa/en/news</x:v>
      </x:c>
      <x:c r="H106" s="143" t="str">
        <x:v>https://www.kaust.edu.sa/</x:v>
      </x:c>
      <x:c r="I106" s="142" t="n">
        <x:v>5</x:v>
      </x:c>
      <x:c r="J106" s="142" t="str">
        <x:v>No</x:v>
      </x:c>
      <x:c r="K106" s="143" t="str">
        <x:v>Official KAUST research and technology-transfer news.</x:v>
      </x:c>
      <x:c r="L106" s="142" t="str">
        <x:v>S</x:v>
      </x:c>
      <x:c r="M106" s="142" t="str">
        <x:v>Daily</x:v>
      </x:c>
      <x:c r="N106" s="143" t="str">
        <x:v>Artificial Intelligence | Robotics | Semiconductors &amp; Telecom | Quantum | Fusion Energy | Biotechnology | Healthcare | Space</x:v>
      </x:c>
    </x:row>
    <x:row r="107">
      <x:c r="A107" s="142" t="str">
        <x:v>Yes</x:v>
      </x:c>
      <x:c r="B107" s="143" t="str">
        <x:v>Middle East</x:v>
      </x:c>
      <x:c r="C107" s="143" t="str">
        <x:v>Qatar</x:v>
      </x:c>
      <x:c r="D107" s="143" t="str">
        <x:v>National RDI strategy, research funding and innovation programs</x:v>
      </x:c>
      <x:c r="E107" s="143" t="str">
        <x:v>Qatar QRDI Council</x:v>
      </x:c>
      <x:c r="F107" s="143" t="str">
        <x:v>Qatar Research, Development and Innovation Council</x:v>
      </x:c>
      <x:c r="G107" s="143" t="str">
        <x:v>https://qrdi.org.qa/en-US/</x:v>
      </x:c>
      <x:c r="H107" s="143" t="str">
        <x:v>https://qrdi.org.qa/en-US/</x:v>
      </x:c>
      <x:c r="I107" s="142" t="n">
        <x:v>5</x:v>
      </x:c>
      <x:c r="J107" s="142" t="str">
        <x:v>No</x:v>
      </x:c>
      <x:c r="K107" s="143" t="str">
        <x:v>Official QRDI Council news.</x:v>
      </x:c>
      <x:c r="L107" s="142" t="str">
        <x:v>S</x:v>
      </x:c>
      <x:c r="M107" s="142" t="str">
        <x:v>Daily</x:v>
      </x:c>
      <x:c r="N107" s="143" t="str">
        <x:v>Artificial Intelligence | Robotics | Semiconductors &amp; Telecom | Quantum | Biotechnology | Healthcare | Space</x:v>
      </x:c>
    </x:row>
    <x:row r="108">
      <x:c r="A108" s="142" t="str">
        <x:v>Yes</x:v>
      </x:c>
      <x:c r="B108" s="143" t="str">
        <x:v>Middle East</x:v>
      </x:c>
      <x:c r="C108" s="143" t="str">
        <x:v>United Arab Emirates</x:v>
      </x:c>
      <x:c r="D108" s="143" t="str">
        <x:v>Artificial intelligence, robotics, healthcare AI and scientific research</x:v>
      </x:c>
      <x:c r="E108" s="143" t="str">
        <x:v>MBZUAI</x:v>
      </x:c>
      <x:c r="F108" s="143" t="str">
        <x:v>Mohamed bin Zayed University of Artificial Intelligence</x:v>
      </x:c>
      <x:c r="G108" s="143" t="str">
        <x:v>https://mbzuai.ac.ae/</x:v>
      </x:c>
      <x:c r="H108" s="143" t="str">
        <x:v>https://mbzuai.ac.ae/</x:v>
      </x:c>
      <x:c r="I108" s="142" t="n">
        <x:v>5</x:v>
      </x:c>
      <x:c r="J108" s="142" t="str">
        <x:v>No</x:v>
      </x:c>
      <x:c r="K108" s="143" t="str">
        <x:v>Official MBZUAI homepage news links; the separate news archive is intermittently unavailable.</x:v>
      </x:c>
      <x:c r="L108" s="142" t="str">
        <x:v>S</x:v>
      </x:c>
      <x:c r="M108" s="142" t="str">
        <x:v>Daily</x:v>
      </x:c>
      <x:c r="N108" s="143" t="str">
        <x:v>Artificial Intelligence | Robotics | Healthcare | Biotechnology</x:v>
      </x:c>
    </x:row>
    <x:row r="109">
      <x:c r="A109" s="142" t="str">
        <x:v>Yes</x:v>
      </x:c>
      <x:c r="B109" s="143" t="str">
        <x:v>Middle East</x:v>
      </x:c>
      <x:c r="C109" s="143" t="str">
        <x:v>United Arab Emirates</x:v>
      </x:c>
      <x:c r="D109" s="143" t="str">
        <x:v>AI, quantum, robotics, semiconductors, communications, space and propulsion R&amp;D</x:v>
      </x:c>
      <x:c r="E109" s="143" t="str">
        <x:v>Technology Innovation Institute</x:v>
      </x:c>
      <x:c r="F109" s="143" t="str">
        <x:v>Technology Innovation Institute</x:v>
      </x:c>
      <x:c r="G109" s="143" t="str">
        <x:v>https://www.tii.ae/news</x:v>
      </x:c>
      <x:c r="H109" s="143" t="str">
        <x:v>https://www.tii.ae/</x:v>
      </x:c>
      <x:c r="I109" s="142" t="n">
        <x:v>5</x:v>
      </x:c>
      <x:c r="J109" s="142" t="str">
        <x:v>No</x:v>
      </x:c>
      <x:c r="K109" s="143" t="str">
        <x:v>Official TII research and technology news.</x:v>
      </x:c>
      <x:c r="L109" s="142" t="str">
        <x:v>S</x:v>
      </x:c>
      <x:c r="M109" s="142" t="str">
        <x:v>Daily</x:v>
      </x:c>
      <x:c r="N109" s="143" t="str">
        <x:v>Artificial Intelligence | Robotics | Semiconductors &amp; Telecom | Quantum | Space</x:v>
      </x:c>
    </x:row>
    <x:row r="110">
      <x:c r="A110" s="142" t="str">
        <x:v>Yes</x:v>
      </x:c>
      <x:c r="B110" s="143" t="str">
        <x:v>Global</x:v>
      </x:c>
      <x:c r="C110" s="143" t="str">
        <x:v>Global</x:v>
      </x:c>
      <x:c r="D110" s="143" t="str">
        <x:v>Preprints across the eight monitored technology areas</x:v>
      </x:c>
      <x:c r="E110" s="143" t="str">
        <x:v>arXiv</x:v>
      </x:c>
      <x:c r="F110" s="143" t="str">
        <x:v>Cornell University</x:v>
      </x:c>
      <x:c r="G110" s="143" t="str">
        <x:v>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x:v>
      </x:c>
      <x:c r="H110" s="143" t="str">
        <x:v>https://arxiv.org/</x:v>
      </x:c>
      <x:c r="I110" s="142" t="n">
        <x:v>3</x:v>
      </x:c>
      <x:c r="J110" s="142" t="str">
        <x:v>Yes</x:v>
      </x:c>
      <x:c r="K110" s="143" t="str">
        <x:v>Official arXiv Atom API, collected weekly as a B-tier research source; preprints are always labeled not peer reviewed.</x:v>
      </x:c>
      <x:c r="L110" s="142" t="str">
        <x:v>B</x:v>
      </x:c>
      <x:c r="M110" s="142" t="str">
        <x:v>Weekly</x:v>
      </x:c>
      <x:c r="N110" s="143" t="str">
        <x:v>Artificial Intelligence | Robotics | Semiconductors &amp; Telecom | Quantum | Fusion Energy | Biotechnology | Healthcare | Space</x:v>
      </x:c>
    </x:row>
    <x:row r="111">
      <x:c r="A111" s="142" t="str">
        <x:v>Yes</x:v>
      </x:c>
      <x:c r="B111" s="143" t="str">
        <x:v>Global</x:v>
      </x:c>
      <x:c r="C111" s="143" t="str">
        <x:v>United States</x:v>
      </x:c>
      <x:c r="D111" s="143" t="str">
        <x:v>Artificial intelligence conference proceedings</x:v>
      </x:c>
      <x:c r="E111" s="143" t="str">
        <x:v>AAAI Proceedings</x:v>
      </x:c>
      <x:c r="F111" s="143" t="str">
        <x:v>Association for the Advancement of Artificial Intelligence</x:v>
      </x:c>
      <x:c r="G111" s="143" t="str">
        <x:v>https://ojs.aaai.org/index.php/AAAI/gateway/plugin/WebFeedGatewayPlugin/rss2</x:v>
      </x:c>
      <x:c r="H111" s="143" t="str">
        <x:v>https://ojs.aaai.org/index.php/AAAI</x:v>
      </x:c>
      <x:c r="I111" s="142" t="n">
        <x:v>3</x:v>
      </x:c>
      <x:c r="J111" s="142" t="str">
        <x:v>Yes</x:v>
      </x:c>
      <x:c r="K111" s="143" t="str">
        <x:v>Official AAAI proceedings RSS, used for release-time coverage beyond OpenAlex.</x:v>
      </x:c>
      <x:c r="L111" s="142" t="str">
        <x:v>B</x:v>
      </x:c>
      <x:c r="M111" s="142" t="str">
        <x:v>Weekly</x:v>
      </x:c>
      <x:c r="N111" s="143" t="str">
        <x:v>Artificial Intelligence | Robotics</x:v>
      </x:c>
    </x:row>
    <x:row r="112">
      <x:c r="A112" s="142" t="str">
        <x:v>Yes</x:v>
      </x:c>
      <x:c r="B112" s="143" t="str">
        <x:v>Asia</x:v>
      </x:c>
      <x:c r="C112" s="143" t="str">
        <x:v>Japan</x:v>
      </x:c>
      <x:c r="D112" s="143" t="str">
        <x:v>AI research community, conferences and society news</x:v>
      </x:c>
      <x:c r="E112" s="143" t="str">
        <x:v>日本人工知能学会</x:v>
      </x:c>
      <x:c r="F112" s="143" t="str">
        <x:v>Japanese Society for Artificial Intelligence</x:v>
      </x:c>
      <x:c r="G112" s="143" t="str">
        <x:v>https://kikaku.ai-gakkai.or.jp/category/news/feed</x:v>
      </x:c>
      <x:c r="H112" s="143" t="str">
        <x:v>https://www.ai-gakkai.or.jp/</x:v>
      </x:c>
      <x:c r="I112" s="142" t="n">
        <x:v>3</x:v>
      </x:c>
      <x:c r="J112" s="142" t="str">
        <x:v>Yes</x:v>
      </x:c>
      <x:c r="K112" s="143" t="str">
        <x:v>Official society news feed; weekly B-tier collection.</x:v>
      </x:c>
      <x:c r="L112" s="142" t="str">
        <x:v>B</x:v>
      </x:c>
      <x:c r="M112" s="142" t="str">
        <x:v>Weekly</x:v>
      </x:c>
      <x:c r="N112" s="143" t="str">
        <x:v>Artificial Intelligence | Robotics</x:v>
      </x:c>
    </x:row>
    <x:row r="113">
      <x:c r="A113" s="142" t="str">
        <x:v>Yes</x:v>
      </x:c>
      <x:c r="B113" s="143" t="str">
        <x:v>Global</x:v>
      </x:c>
      <x:c r="C113" s="143" t="str">
        <x:v>Global</x:v>
      </x:c>
      <x:c r="D113" s="143" t="str">
        <x:v>Mobile communications standards, 5G, 6G, satellite networks and AI</x:v>
      </x:c>
      <x:c r="E113" s="143" t="str">
        <x:v>3GPP</x:v>
      </x:c>
      <x:c r="F113" s="143" t="str">
        <x:v>3rd Generation Partnership Project</x:v>
      </x:c>
      <x:c r="G113" s="143" t="str">
        <x:v>https://www.3gpp.org/news-events/3gpp-news</x:v>
      </x:c>
      <x:c r="H113" s="143" t="str">
        <x:v>https://www.3gpp.org/</x:v>
      </x:c>
      <x:c r="I113" s="142" t="n">
        <x:v>4</x:v>
      </x:c>
      <x:c r="J113" s="142" t="str">
        <x:v>No</x:v>
      </x:c>
      <x:c r="K113" s="143" t="str">
        <x:v>Official 3GPP standards news.</x:v>
      </x:c>
      <x:c r="L113" s="142" t="str">
        <x:v>A</x:v>
      </x:c>
      <x:c r="M113" s="142" t="str">
        <x:v>Daily</x:v>
      </x:c>
      <x:c r="N113" s="143" t="str">
        <x:v>Semiconductors &amp; Telecom | Artificial Intelligence | Space</x:v>
      </x:c>
    </x:row>
    <x:row r="114">
      <x:c r="A114" s="142" t="str">
        <x:v>Yes</x:v>
      </x:c>
      <x:c r="B114" s="143" t="str">
        <x:v>EU &amp; Europe</x:v>
      </x:c>
      <x:c r="C114" s="143" t="str">
        <x:v>European Union</x:v>
      </x:c>
      <x:c r="D114" s="143" t="str">
        <x:v>Telecommunications, AI, quantum-safe, cybersecurity and space standards</x:v>
      </x:c>
      <x:c r="E114" s="143" t="str">
        <x:v>ETSI</x:v>
      </x:c>
      <x:c r="F114" s="143" t="str">
        <x:v>European Telecommunications Standards Institute</x:v>
      </x:c>
      <x:c r="G114" s="143" t="str">
        <x:v>https://www.etsi.org/newsroom/?_sft_category=press-releases</x:v>
      </x:c>
      <x:c r="H114" s="143" t="str">
        <x:v>https://www.etsi.org/</x:v>
      </x:c>
      <x:c r="I114" s="142" t="n">
        <x:v>4</x:v>
      </x:c>
      <x:c r="J114" s="142" t="str">
        <x:v>No</x:v>
      </x:c>
      <x:c r="K114" s="143" t="str">
        <x:v>Official ETSI press releases.</x:v>
      </x:c>
      <x:c r="L114" s="142" t="str">
        <x:v>A</x:v>
      </x:c>
      <x:c r="M114" s="142" t="str">
        <x:v>Daily</x:v>
      </x:c>
      <x:c r="N114" s="143" t="str">
        <x:v>Semiconductors &amp; Telecom | Artificial Intelligence | Quantum | Space</x:v>
      </x:c>
    </x:row>
    <x:row r="115">
      <x:c r="A115" s="142" t="str">
        <x:v>Yes</x:v>
      </x:c>
      <x:c r="B115" s="143" t="str">
        <x:v>Global</x:v>
      </x:c>
      <x:c r="C115" s="143" t="str">
        <x:v>Global</x:v>
      </x:c>
      <x:c r="D115" s="143" t="str">
        <x:v>Open radio access networks, 5G, 6G, AI and telecom standards</x:v>
      </x:c>
      <x:c r="E115" s="143" t="str">
        <x:v>O-RAN Alliance</x:v>
      </x:c>
      <x:c r="F115" s="143" t="str">
        <x:v>O-RAN Alliance</x:v>
      </x:c>
      <x:c r="G115" s="143" t="str">
        <x:v>https://www.o-ran.org/blog</x:v>
      </x:c>
      <x:c r="H115" s="143" t="str">
        <x:v>https://www.o-ran.org/</x:v>
      </x:c>
      <x:c r="I115" s="142" t="n">
        <x:v>4</x:v>
      </x:c>
      <x:c r="J115" s="142" t="str">
        <x:v>No</x:v>
      </x:c>
      <x:c r="K115" s="143" t="str">
        <x:v>Official O-RAN Alliance blog; standards releases and document updates are prioritized.</x:v>
      </x:c>
      <x:c r="L115" s="142" t="str">
        <x:v>A</x:v>
      </x:c>
      <x:c r="M115" s="142" t="str">
        <x:v>Daily</x:v>
      </x:c>
      <x:c r="N115" s="143" t="str">
        <x:v>Semiconductors &amp; Telecom | Artificial Intelligence</x:v>
      </x:c>
    </x:row>
    <x:row r="116">
      <x:c r="A116" s="142" t="str">
        <x:v>Yes</x:v>
      </x:c>
      <x:c r="B116" s="143" t="str">
        <x:v>Global</x:v>
      </x:c>
      <x:c r="C116" s="143" t="str">
        <x:v>Global</x:v>
      </x:c>
      <x:c r="D116" s="143" t="str">
        <x:v>Telecommunications, AI, 6G, quantum, space and international standards</x:v>
      </x:c>
      <x:c r="E116" s="143" t="str">
        <x:v>ITU News</x:v>
      </x:c>
      <x:c r="F116" s="143" t="str">
        <x:v>International Telecommunication Union</x:v>
      </x:c>
      <x:c r="G116" s="143" t="str">
        <x:v>https://www.itu.int/hub/news/</x:v>
      </x:c>
      <x:c r="H116" s="143" t="str">
        <x:v>https://www.itu.int/</x:v>
      </x:c>
      <x:c r="I116" s="142" t="n">
        <x:v>4</x:v>
      </x:c>
      <x:c r="J116" s="142" t="str">
        <x:v>No</x:v>
      </x:c>
      <x:c r="K116" s="143" t="str">
        <x:v>Official ITU news with strict monitored-topic filtering.</x:v>
      </x:c>
      <x:c r="L116" s="142" t="str">
        <x:v>A</x:v>
      </x:c>
      <x:c r="M116" s="142" t="str">
        <x:v>Daily</x:v>
      </x:c>
      <x:c r="N116" s="143" t="str">
        <x:v>Semiconductors &amp; Telecom | Artificial Intelligence | Quantum | Space</x:v>
      </x:c>
    </x:row>
    <x:row r="117">
      <x:c r="A117" s="142" t="str">
        <x:v>Yes</x:v>
      </x:c>
      <x:c r="B117" s="143" t="str">
        <x:v>EU &amp; Europe</x:v>
      </x:c>
      <x:c r="C117" s="143" t="str">
        <x:v>Belgium</x:v>
      </x:c>
      <x:c r="D117" s="143" t="str">
        <x:v>European research funding, science policy and innovation</x:v>
      </x:c>
      <x:c r="E117" s="143" t="str">
        <x:v>Science|Business</x:v>
      </x:c>
      <x:c r="F117" s="143" t="str">
        <x:v>Science Business Publishing</x:v>
      </x:c>
      <x:c r="G117" s="143" t="str">
        <x:v>https://sciencebusiness.net/news</x:v>
      </x:c>
      <x:c r="H117" s="143" t="str">
        <x:v>https://sciencebusiness.net/</x:v>
      </x:c>
      <x:c r="I117" s="142" t="n">
        <x:v>4</x:v>
      </x:c>
      <x:c r="J117" s="142" t="str">
        <x:v>No</x:v>
      </x:c>
      <x:c r="K117" s="143" t="str">
        <x:v>Established specialist publication covering EU R&amp;D funding and policy.</x:v>
      </x:c>
      <x:c r="L117" s="142" t="str">
        <x:v>A</x:v>
      </x:c>
      <x:c r="M117" s="142" t="str">
        <x:v>Daily</x:v>
      </x:c>
      <x:c r="N117" s="143" t="str">
        <x:v>Artificial Intelligence | Robotics | Semiconductors &amp; Telecom | Quantum | Fusion Energy | Biotechnology | Healthcare | Space</x:v>
      </x:c>
    </x:row>
    <x:row r="118">
      <x:c r="A118" s="142" t="str">
        <x:v>Yes</x:v>
      </x:c>
      <x:c r="B118" s="143" t="str">
        <x:v>Global</x:v>
      </x:c>
      <x:c r="C118" s="143" t="str">
        <x:v>United States</x:v>
      </x:c>
      <x:c r="D118" s="143" t="str">
        <x:v>Semiconductor process, design, packaging, manufacturing and AI hardware</x:v>
      </x:c>
      <x:c r="E118" s="143" t="str">
        <x:v>Semiconductor Engineering</x:v>
      </x:c>
      <x:c r="F118" s="143" t="str">
        <x:v>Semiconductor Engineering</x:v>
      </x:c>
      <x:c r="G118" s="143" t="str">
        <x:v>https://semiengineering.com/feed/</x:v>
      </x:c>
      <x:c r="H118" s="143" t="str">
        <x:v>https://semiengineering.com/</x:v>
      </x:c>
      <x:c r="I118" s="142" t="n">
        <x:v>4</x:v>
      </x:c>
      <x:c r="J118" s="142" t="str">
        <x:v>Yes</x:v>
      </x:c>
      <x:c r="K118" s="143" t="str">
        <x:v>Established specialist semiconductor publication.</x:v>
      </x:c>
      <x:c r="L118" s="142" t="str">
        <x:v>A</x:v>
      </x:c>
      <x:c r="M118" s="142" t="str">
        <x:v>Daily</x:v>
      </x:c>
      <x:c r="N118" s="143" t="str">
        <x:v>Semiconductors &amp; Telecom | Artificial Intelligence | Quantum</x:v>
      </x:c>
    </x:row>
    <x:row r="119">
      <x:c r="A119" s="142" t="str">
        <x:v>Yes</x:v>
      </x:c>
      <x:c r="B119" s="143" t="str">
        <x:v>Global</x:v>
      </x:c>
      <x:c r="C119" s="143" t="str">
        <x:v>United States</x:v>
      </x:c>
      <x:c r="D119" s="143" t="str">
        <x:v>Semiconductors, electronics, telecommunications, AI and embedded systems</x:v>
      </x:c>
      <x:c r="E119" s="143" t="str">
        <x:v>EE Times</x:v>
      </x:c>
      <x:c r="F119" s="143" t="str">
        <x:v>EE Times</x:v>
      </x:c>
      <x:c r="G119" s="143" t="str">
        <x:v>https://www.eetimes.com/feed/</x:v>
      </x:c>
      <x:c r="H119" s="143" t="str">
        <x:v>https://www.eetimes.com/</x:v>
      </x:c>
      <x:c r="I119" s="142" t="n">
        <x:v>4</x:v>
      </x:c>
      <x:c r="J119" s="142" t="str">
        <x:v>Yes</x:v>
      </x:c>
      <x:c r="K119" s="143" t="str">
        <x:v>Established electronics and semiconductor trade publication.</x:v>
      </x:c>
      <x:c r="L119" s="142" t="str">
        <x:v>A</x:v>
      </x:c>
      <x:c r="M119" s="142" t="str">
        <x:v>Daily</x:v>
      </x:c>
      <x:c r="N119" s="143" t="str">
        <x:v>Semiconductors &amp; Telecom | Artificial Intelligence | Robotics | Quantum</x:v>
      </x:c>
    </x:row>
    <x:row r="120">
      <x:c r="A120" s="142" t="str">
        <x:v>Yes</x:v>
      </x:c>
      <x:c r="B120" s="143" t="str">
        <x:v>Asia</x:v>
      </x:c>
      <x:c r="C120" s="143" t="str">
        <x:v>Japan</x:v>
      </x:c>
      <x:c r="D120" s="143" t="str">
        <x:v>Semiconductors, electronics, telecommunications and AI</x:v>
      </x:c>
      <x:c r="E120" s="143" t="str">
        <x:v>EE Times Japan</x:v>
      </x:c>
      <x:c r="F120" s="143" t="str">
        <x:v>ITmedia</x:v>
      </x:c>
      <x:c r="G120" s="143" t="str">
        <x:v>https://eetimes.itmedia.co.jp/ee/rss/index.rdf</x:v>
      </x:c>
      <x:c r="H120" s="143" t="str">
        <x:v>https://eetimes.itmedia.co.jp/ee/</x:v>
      </x:c>
      <x:c r="I120" s="142" t="n">
        <x:v>4</x:v>
      </x:c>
      <x:c r="J120" s="142" t="str">
        <x:v>Yes</x:v>
      </x:c>
      <x:c r="K120" s="143" t="str">
        <x:v>Established Japanese semiconductor and electronics trade publication.</x:v>
      </x:c>
      <x:c r="L120" s="142" t="str">
        <x:v>A</x:v>
      </x:c>
      <x:c r="M120" s="142" t="str">
        <x:v>Daily</x:v>
      </x:c>
      <x:c r="N120" s="143" t="str">
        <x:v>Semiconductors &amp; Telecom | Artificial Intelligence | Robotics | Quantum</x:v>
      </x:c>
    </x:row>
    <x:row r="121">
      <x:c r="A121" s="142" t="str">
        <x:v>Yes</x:v>
      </x:c>
      <x:c r="B121" s="143" t="str">
        <x:v>Global</x:v>
      </x:c>
      <x:c r="C121" s="143" t="str">
        <x:v>United States</x:v>
      </x:c>
      <x:c r="D121" s="143" t="str">
        <x:v>Robotics, embodied AI, industrial automation and autonomous systems</x:v>
      </x:c>
      <x:c r="E121" s="143" t="str">
        <x:v>The Robot Report</x:v>
      </x:c>
      <x:c r="F121" s="143" t="str">
        <x:v>WTWH Media</x:v>
      </x:c>
      <x:c r="G121" s="143" t="str">
        <x:v>https://www.therobotreport.com/feed/</x:v>
      </x:c>
      <x:c r="H121" s="143" t="str">
        <x:v>https://www.therobotreport.com/</x:v>
      </x:c>
      <x:c r="I121" s="142" t="n">
        <x:v>4</x:v>
      </x:c>
      <x:c r="J121" s="142" t="str">
        <x:v>Yes</x:v>
      </x:c>
      <x:c r="K121" s="143" t="str">
        <x:v>Established specialist robotics publication.</x:v>
      </x:c>
      <x:c r="L121" s="142" t="str">
        <x:v>A</x:v>
      </x:c>
      <x:c r="M121" s="142" t="str">
        <x:v>Daily</x:v>
      </x:c>
      <x:c r="N121" s="143" t="str">
        <x:v>Robotics | Artificial Intelligence | Semiconductors &amp; Telecom</x:v>
      </x:c>
    </x:row>
    <x:row r="122">
      <x:c r="A122" s="142" t="str">
        <x:v>Yes</x:v>
      </x:c>
      <x:c r="B122" s="143" t="str">
        <x:v>Global</x:v>
      </x:c>
      <x:c r="C122" s="143" t="str">
        <x:v>United States</x:v>
      </x:c>
      <x:c r="D122" s="143" t="str">
        <x:v>Biotechnology, drug development, healthcare and health technology</x:v>
      </x:c>
      <x:c r="E122" s="143" t="str">
        <x:v>STAT Biotech</x:v>
      </x:c>
      <x:c r="F122" s="143" t="str">
        <x:v>STAT</x:v>
      </x:c>
      <x:c r="G122" s="143" t="str">
        <x:v>https://www.statnews.com/category/biotech/feed/</x:v>
      </x:c>
      <x:c r="H122" s="143" t="str">
        <x:v>https://www.statnews.com/category/biotech/</x:v>
      </x:c>
      <x:c r="I122" s="142" t="n">
        <x:v>4</x:v>
      </x:c>
      <x:c r="J122" s="142" t="str">
        <x:v>Yes</x:v>
      </x:c>
      <x:c r="K122" s="143" t="str">
        <x:v>Established specialist health publication, restricted to its official biotech feed.</x:v>
      </x:c>
      <x:c r="L122" s="142" t="str">
        <x:v>A</x:v>
      </x:c>
      <x:c r="M122" s="142" t="str">
        <x:v>Daily</x:v>
      </x:c>
      <x:c r="N122" s="143" t="str">
        <x:v>Biotechnology | Healthcare | Artificial Intelligence</x:v>
      </x:c>
    </x:row>
    <x:row r="123">
      <x:c r="A123" s="142" t="str">
        <x:v>Yes</x:v>
      </x:c>
      <x:c r="B123" s="143" t="str">
        <x:v>Global</x:v>
      </x:c>
      <x:c r="C123" s="143" t="str">
        <x:v>United States</x:v>
      </x:c>
      <x:c r="D123" s="143" t="str">
        <x:v>Biotechnology, clinical development, drug discovery and healthcare</x:v>
      </x:c>
      <x:c r="E123" s="143" t="str">
        <x:v>Fierce Biotech</x:v>
      </x:c>
      <x:c r="F123" s="143" t="str">
        <x:v>Fierce Biotech</x:v>
      </x:c>
      <x:c r="G123" s="143" t="str">
        <x:v>https://www.fiercebiotech.com/rss/xml</x:v>
      </x:c>
      <x:c r="H123" s="143" t="str">
        <x:v>https://www.fiercebiotech.com/</x:v>
      </x:c>
      <x:c r="I123" s="142" t="n">
        <x:v>4</x:v>
      </x:c>
      <x:c r="J123" s="142" t="str">
        <x:v>Yes</x:v>
      </x:c>
      <x:c r="K123" s="143" t="str">
        <x:v>Established specialist biotechnology publication.</x:v>
      </x:c>
      <x:c r="L123" s="142" t="str">
        <x:v>A</x:v>
      </x:c>
      <x:c r="M123" s="142" t="str">
        <x:v>Daily</x:v>
      </x:c>
      <x:c r="N123" s="143" t="str">
        <x:v>Biotechnology | Healthcare | Artificial Intelligence</x:v>
      </x:c>
    </x:row>
    <x:row r="124">
      <x:c r="A124" s="142" t="str">
        <x:v>Yes</x:v>
      </x:c>
      <x:c r="B124" s="143" t="str">
        <x:v>Global</x:v>
      </x:c>
      <x:c r="C124" s="143" t="str">
        <x:v>United States</x:v>
      </x:c>
      <x:c r="D124" s="143" t="str">
        <x:v>Space industry, satellites, launch, policy and communications</x:v>
      </x:c>
      <x:c r="E124" s="143" t="str">
        <x:v>SpaceNews</x:v>
      </x:c>
      <x:c r="F124" s="143" t="str">
        <x:v>SpaceNews</x:v>
      </x:c>
      <x:c r="G124" s="143" t="str">
        <x:v>https://spacenews.com/feed/</x:v>
      </x:c>
      <x:c r="H124" s="143" t="str">
        <x:v>https://spacenews.com/</x:v>
      </x:c>
      <x:c r="I124" s="142" t="n">
        <x:v>4</x:v>
      </x:c>
      <x:c r="J124" s="142" t="str">
        <x:v>Yes</x:v>
      </x:c>
      <x:c r="K124" s="143" t="str">
        <x:v>Established specialist space-industry publication.</x:v>
      </x:c>
      <x:c r="L124" s="142" t="str">
        <x:v>A</x:v>
      </x:c>
      <x:c r="M124" s="142" t="str">
        <x:v>Daily</x:v>
      </x:c>
      <x:c r="N124" s="143" t="str">
        <x:v>Space | Semiconductors &amp; Telecom | Artificial Intelligence</x:v>
      </x:c>
    </x:row>
    <x:row r="125">
      <x:c r="A125" s="142" t="str">
        <x:v>Yes</x:v>
      </x:c>
      <x:c r="B125" s="143" t="str">
        <x:v>Global</x:v>
      </x:c>
      <x:c r="C125" s="143" t="str">
        <x:v>United States</x:v>
      </x:c>
      <x:c r="D125" s="143" t="str">
        <x:v>Space technology, industry, launch, satellites and policy</x:v>
      </x:c>
      <x:c r="E125" s="143" t="str">
        <x:v>Payload</x:v>
      </x:c>
      <x:c r="F125" s="143" t="str">
        <x:v>Payload</x:v>
      </x:c>
      <x:c r="G125" s="143" t="str">
        <x:v>https://payloadspace.com/feed/</x:v>
      </x:c>
      <x:c r="H125" s="143" t="str">
        <x:v>https://payloadspace.com/</x:v>
      </x:c>
      <x:c r="I125" s="142" t="n">
        <x:v>4</x:v>
      </x:c>
      <x:c r="J125" s="142" t="str">
        <x:v>Yes</x:v>
      </x:c>
      <x:c r="K125" s="143" t="str">
        <x:v>Established specialist space-industry publication.</x:v>
      </x:c>
      <x:c r="L125" s="142" t="str">
        <x:v>A</x:v>
      </x:c>
      <x:c r="M125" s="142" t="str">
        <x:v>Daily</x:v>
      </x:c>
      <x:c r="N125" s="143" t="str">
        <x:v>Space | Semiconductors &amp; Telecom | Artificial Intelligence</x:v>
      </x:c>
    </x:row>
    <x:row r="126">
      <x:c r="A126" s="142" t="str">
        <x:v>Yes</x:v>
      </x:c>
      <x:c r="B126" s="143" t="str">
        <x:v>Global</x:v>
      </x:c>
      <x:c r="C126" s="143" t="str">
        <x:v>Global</x:v>
      </x:c>
      <x:c r="D126" s="143" t="str">
        <x:v>Quantum computing, sensing, communications, research and commercialization</x:v>
      </x:c>
      <x:c r="E126" s="143" t="str">
        <x:v>The Quantum Insider</x:v>
      </x:c>
      <x:c r="F126" s="143" t="str">
        <x:v>The Quantum Insider</x:v>
      </x:c>
      <x:c r="G126" s="143" t="str">
        <x:v>https://thequantuminsider.com/feed/</x:v>
      </x:c>
      <x:c r="H126" s="143" t="str">
        <x:v>https://thequantuminsider.com/</x:v>
      </x:c>
      <x:c r="I126" s="142" t="n">
        <x:v>4</x:v>
      </x:c>
      <x:c r="J126" s="142" t="str">
        <x:v>Yes</x:v>
      </x:c>
      <x:c r="K126" s="143" t="str">
        <x:v>Specialist quantum publication; strict filter requires a research, engineering, deployment or policy milestone.</x:v>
      </x:c>
      <x:c r="L126" s="142" t="str">
        <x:v>A</x:v>
      </x:c>
      <x:c r="M126" s="142" t="str">
        <x:v>Daily</x:v>
      </x:c>
      <x:c r="N126" s="143" t="str">
        <x:v>Quantum | Semiconductors &amp; Telecom | Artificial Intelligence</x:v>
      </x:c>
    </x:row>
    <x:row r="127">
      <x:c r="A127" s="142" t="str">
        <x:v>Yes</x:v>
      </x:c>
      <x:c r="B127" s="143" t="str">
        <x:v>Global</x:v>
      </x:c>
      <x:c r="C127" s="143" t="str">
        <x:v>United Kingdom</x:v>
      </x:c>
      <x:c r="D127" s="143" t="str">
        <x:v>Fusion energy technology, industry and policy analysis</x:v>
      </x:c>
      <x:c r="E127" s="143" t="str">
        <x:v>Fusion Energy Insights</x:v>
      </x:c>
      <x:c r="F127" s="143" t="str">
        <x:v>Fusion Energy Insights</x:v>
      </x:c>
      <x:c r="G127" s="143" t="str">
        <x:v>https://ghl.fusionenergyinsights.com/blog</x:v>
      </x:c>
      <x:c r="H127" s="143" t="str">
        <x:v>https://www.fusionenergyinsights.com/</x:v>
      </x:c>
      <x:c r="I127" s="142" t="n">
        <x:v>3</x:v>
      </x:c>
      <x:c r="J127" s="142" t="str">
        <x:v>No</x:v>
      </x:c>
      <x:c r="K127" s="143" t="str">
        <x:v>Weekly B-tier specialist analysis; only public metadata and pages are collected.</x:v>
      </x:c>
      <x:c r="L127" s="142" t="str">
        <x:v>B</x:v>
      </x:c>
      <x:c r="M127" s="142" t="str">
        <x:v>Weekly</x:v>
      </x:c>
      <x:c r="N127" s="143" t="str">
        <x:v>Fusion Energy</x:v>
      </x:c>
    </x:row>
    <x:row r="128">
      <x:c r="A128" s="142" t="str">
        <x:v>Yes</x:v>
      </x:c>
      <x:c r="B128" s="143" t="str">
        <x:v>United States</x:v>
      </x:c>
      <x:c r="C128" s="143" t="str">
        <x:v>United States</x:v>
      </x:c>
      <x:c r="D128" s="143" t="str">
        <x:v>Fusion energy, plasma physics, AI control and fusion-derived healthcare technology</x:v>
      </x:c>
      <x:c r="E128" s="143" t="str">
        <x:v>TAE Technologies</x:v>
      </x:c>
      <x:c r="F128" s="143" t="str">
        <x:v>TAE Technologies</x:v>
      </x:c>
      <x:c r="G128" s="143" t="str">
        <x:v>https://tae.com/news/pressreleases/</x:v>
      </x:c>
      <x:c r="H128" s="143" t="str">
        <x:v>https://tae.com/</x:v>
      </x:c>
      <x:c r="I128" s="142" t="n">
        <x:v>4</x:v>
      </x:c>
      <x:c r="J128" s="142" t="str">
        <x:v>No</x:v>
      </x:c>
      <x:c r="K128" s="143" t="str">
        <x:v>Official TAE releases; strict filter keeps technology, experiments and plant development.</x:v>
      </x:c>
      <x:c r="L128" s="142" t="str">
        <x:v>A</x:v>
      </x:c>
      <x:c r="M128" s="142" t="str">
        <x:v>Daily</x:v>
      </x:c>
      <x:c r="N128" s="143" t="str">
        <x:v>Fusion Energy | Artificial Intelligence | Healthcare</x:v>
      </x:c>
    </x:row>
    <x:row r="129">
      <x:c r="A129" s="142" t="str">
        <x:v>Yes</x:v>
      </x:c>
      <x:c r="B129" s="143" t="str">
        <x:v>United States</x:v>
      </x:c>
      <x:c r="C129" s="143" t="str">
        <x:v>United States</x:v>
      </x:c>
      <x:c r="D129" s="143" t="str">
        <x:v>Z-pinch fusion energy, plasma experiments and AI</x:v>
      </x:c>
      <x:c r="E129" s="143" t="str">
        <x:v>Zap Energy</x:v>
      </x:c>
      <x:c r="F129" s="143" t="str">
        <x:v>Zap Energy</x:v>
      </x:c>
      <x:c r="G129" s="143" t="str">
        <x:v>https://legacy.zapenergy.com/news-archive</x:v>
      </x:c>
      <x:c r="H129" s="143" t="str">
        <x:v>https://www.zapenergy.com/</x:v>
      </x:c>
      <x:c r="I129" s="142" t="n">
        <x:v>5</x:v>
      </x:c>
      <x:c r="J129" s="142" t="str">
        <x:v>No</x:v>
      </x:c>
      <x:c r="K129" s="143" t="str">
        <x:v>Official Zap Energy archive; external-media links on the page are excluded.</x:v>
      </x:c>
      <x:c r="L129" s="142" t="str">
        <x:v>S</x:v>
      </x:c>
      <x:c r="M129" s="142" t="str">
        <x:v>Daily</x:v>
      </x:c>
      <x:c r="N129" s="143" t="str">
        <x:v>Fusion Energy | Artificial Intelligence</x:v>
      </x:c>
    </x:row>
    <x:row r="130">
      <x:c r="A130" s="142" t="str">
        <x:v>Yes</x:v>
      </x:c>
      <x:c r="B130" s="143" t="str">
        <x:v>Global</x:v>
      </x:c>
      <x:c r="C130" s="143" t="str">
        <x:v>Canada</x:v>
      </x:c>
      <x:c r="D130" s="143" t="str">
        <x:v>Magnetized target fusion, plasma experiments and power-plant engineering</x:v>
      </x:c>
      <x:c r="E130" s="143" t="str">
        <x:v>General Fusion</x:v>
      </x:c>
      <x:c r="F130" s="143" t="str">
        <x:v>General Fusion</x:v>
      </x:c>
      <x:c r="G130" s="143" t="str">
        <x:v>https://generalfusion.com/news-insights/</x:v>
      </x:c>
      <x:c r="H130" s="143" t="str">
        <x:v>https://generalfusion.com/</x:v>
      </x:c>
      <x:c r="I130" s="142" t="n">
        <x:v>5</x:v>
      </x:c>
      <x:c r="J130" s="142" t="str">
        <x:v>No</x:v>
      </x:c>
      <x:c r="K130" s="143" t="str">
        <x:v>Official General Fusion news and insights.</x:v>
      </x:c>
      <x:c r="L130" s="142" t="str">
        <x:v>S</x:v>
      </x:c>
      <x:c r="M130" s="142" t="str">
        <x:v>Daily</x:v>
      </x:c>
      <x:c r="N130" s="143" t="str">
        <x:v>Fusion Energy</x:v>
      </x:c>
    </x:row>
    <x:row r="131">
      <x:c r="A131" s="142" t="str">
        <x:v>Yes</x:v>
      </x:c>
      <x:c r="B131" s="143" t="str">
        <x:v>United States</x:v>
      </x:c>
      <x:c r="C131" s="143" t="str">
        <x:v>United States</x:v>
      </x:c>
      <x:c r="D131" s="143" t="str">
        <x:v>Stellarator fusion, plant engineering, semiconductors and AI</x:v>
      </x:c>
      <x:c r="E131" s="143" t="str">
        <x:v>Type One Energy</x:v>
      </x:c>
      <x:c r="F131" s="143" t="str">
        <x:v>Type One Energy</x:v>
      </x:c>
      <x:c r="G131" s="143" t="str">
        <x:v>https://typeoneenergy.com/newsroom/</x:v>
      </x:c>
      <x:c r="H131" s="143" t="str">
        <x:v>https://typeoneenergy.com/</x:v>
      </x:c>
      <x:c r="I131" s="142" t="n">
        <x:v>5</x:v>
      </x:c>
      <x:c r="J131" s="142" t="str">
        <x:v>No</x:v>
      </x:c>
      <x:c r="K131" s="143" t="str">
        <x:v>Official Type One Energy technology and milestone updates.</x:v>
      </x:c>
      <x:c r="L131" s="142" t="str">
        <x:v>S</x:v>
      </x:c>
      <x:c r="M131" s="142" t="str">
        <x:v>Daily</x:v>
      </x:c>
      <x:c r="N131" s="143" t="str">
        <x:v>Fusion Energy | Semiconductors &amp; Telecom | Artificial Intelligence</x:v>
      </x:c>
    </x:row>
    <x:row r="132">
      <x:c r="A132" s="142" t="str">
        <x:v>Yes</x:v>
      </x:c>
      <x:c r="B132" s="143" t="str">
        <x:v>EU &amp; Europe</x:v>
      </x:c>
      <x:c r="C132" s="143" t="str">
        <x:v>Germany</x:v>
      </x:c>
      <x:c r="D132" s="143" t="str">
        <x:v>Stellarator fusion engineering, AI design and enabling semiconductors</x:v>
      </x:c>
      <x:c r="E132" s="143" t="str">
        <x:v>Proxima Fusion</x:v>
      </x:c>
      <x:c r="F132" s="143" t="str">
        <x:v>Proxima Fusion</x:v>
      </x:c>
      <x:c r="G132" s="143" t="str">
        <x:v>https://www.proximafusion.com/press-news</x:v>
      </x:c>
      <x:c r="H132" s="143" t="str">
        <x:v>https://www.proximafusion.com/</x:v>
      </x:c>
      <x:c r="I132" s="142" t="n">
        <x:v>5</x:v>
      </x:c>
      <x:c r="J132" s="142" t="str">
        <x:v>No</x:v>
      </x:c>
      <x:c r="K132" s="143" t="str">
        <x:v>Official Proxima Fusion press and engineering news.</x:v>
      </x:c>
      <x:c r="L132" s="142" t="str">
        <x:v>S</x:v>
      </x:c>
      <x:c r="M132" s="142" t="str">
        <x:v>Daily</x:v>
      </x:c>
      <x:c r="N132" s="143" t="str">
        <x:v>Fusion Energy | Artificial Intelligence | Semiconductors &amp; Telecom</x:v>
      </x:c>
    </x:row>
    <x:row r="133">
      <x:c r="A133" s="142" t="str">
        <x:v>Yes</x:v>
      </x:c>
      <x:c r="B133" s="143" t="str">
        <x:v>United States</x:v>
      </x:c>
      <x:c r="C133" s="143" t="str">
        <x:v>United States</x:v>
      </x:c>
      <x:c r="D133" s="143" t="str">
        <x:v>Base editing, gene therapy, clinical development and biotechnology</x:v>
      </x:c>
      <x:c r="E133" s="143" t="str">
        <x:v>Beam Therapeutics</x:v>
      </x:c>
      <x:c r="F133" s="143" t="str">
        <x:v>Beam Therapeutics</x:v>
      </x:c>
      <x:c r="G133" s="143" t="str">
        <x:v>https://investors.beamtx.com/press-releases</x:v>
      </x:c>
      <x:c r="H133" s="143" t="str">
        <x:v>https://beamtx.com/</x:v>
      </x:c>
      <x:c r="I133" s="142" t="n">
        <x:v>4</x:v>
      </x:c>
      <x:c r="J133" s="142" t="str">
        <x:v>No</x:v>
      </x:c>
      <x:c r="K133" s="143" t="str">
        <x:v>Official Beam releases; strict filter keeps IND, clinical data, platform and R&amp;D milestones.</x:v>
      </x:c>
      <x:c r="L133" s="142" t="str">
        <x:v>A</x:v>
      </x:c>
      <x:c r="M133" s="142" t="str">
        <x:v>Daily</x:v>
      </x:c>
      <x:c r="N133" s="143" t="str">
        <x:v>Biotechnology | Healthcare</x:v>
      </x:c>
    </x:row>
    <x:row r="134">
      <x:c r="A134" s="142" t="str">
        <x:v>Yes</x:v>
      </x:c>
      <x:c r="B134" s="143" t="str">
        <x:v>United States</x:v>
      </x:c>
      <x:c r="C134" s="143" t="str">
        <x:v>United States</x:v>
      </x:c>
      <x:c r="D134" s="143" t="str">
        <x:v>CRISPR gene editing, biotechnology, clinical development and regulation</x:v>
      </x:c>
      <x:c r="E134" s="143" t="str">
        <x:v>Intellia Therapeutics</x:v>
      </x:c>
      <x:c r="F134" s="143" t="str">
        <x:v>Intellia Therapeutics</x:v>
      </x:c>
      <x:c r="G134" s="143" t="str">
        <x:v>https://ir.intelliatx.com/news-releases</x:v>
      </x:c>
      <x:c r="H134" s="143" t="str">
        <x:v>https://www.intelliatx.com/</x:v>
      </x:c>
      <x:c r="I134" s="142" t="n">
        <x:v>4</x:v>
      </x:c>
      <x:c r="J134" s="142" t="str">
        <x:v>No</x:v>
      </x:c>
      <x:c r="K134" s="143" t="str">
        <x:v>Official Intellia releases; strict filter keeps clinical, regulatory and research data.</x:v>
      </x:c>
      <x:c r="L134" s="142" t="str">
        <x:v>A</x:v>
      </x:c>
      <x:c r="M134" s="142" t="str">
        <x:v>Daily</x:v>
      </x:c>
      <x:c r="N134" s="143" t="str">
        <x:v>Biotechnology | Healthcare</x:v>
      </x:c>
    </x:row>
    <x:row r="135">
      <x:c r="A135" s="142" t="str">
        <x:v>Yes</x:v>
      </x:c>
      <x:c r="B135" s="143" t="str">
        <x:v>United States</x:v>
      </x:c>
      <x:c r="C135" s="143" t="str">
        <x:v>United States</x:v>
      </x:c>
      <x:c r="D135" s="143" t="str">
        <x:v>AI drug discovery, biotechnology, clinical development and data platforms</x:v>
      </x:c>
      <x:c r="E135" s="143" t="str">
        <x:v>Recursion</x:v>
      </x:c>
      <x:c r="F135" s="143" t="str">
        <x:v>Recursion Pharmaceuticals</x:v>
      </x:c>
      <x:c r="G135" s="143" t="str">
        <x:v>https://ir.recursion.com/news-events/press-releases</x:v>
      </x:c>
      <x:c r="H135" s="143" t="str">
        <x:v>https://www.recursion.com/</x:v>
      </x:c>
      <x:c r="I135" s="142" t="n">
        <x:v>4</x:v>
      </x:c>
      <x:c r="J135" s="142" t="str">
        <x:v>No</x:v>
      </x:c>
      <x:c r="K135" s="143" t="str">
        <x:v>Official Recursion releases; strict filter removes earnings, personnel and financing-only items.</x:v>
      </x:c>
      <x:c r="L135" s="142" t="str">
        <x:v>A</x:v>
      </x:c>
      <x:c r="M135" s="142" t="str">
        <x:v>Daily</x:v>
      </x:c>
      <x:c r="N135" s="143" t="str">
        <x:v>Artificial Intelligence | Biotechnology | Healthcare</x:v>
      </x:c>
    </x:row>
    <x:row r="136">
      <x:c r="A136" s="142" t="str">
        <x:v>Yes</x:v>
      </x:c>
      <x:c r="B136" s="143" t="str">
        <x:v>EU &amp; Europe</x:v>
      </x:c>
      <x:c r="C136" s="143" t="str">
        <x:v>United Kingdom</x:v>
      </x:c>
      <x:c r="D136" s="143" t="str">
        <x:v>AI drug discovery, biotechnology, healthcare and scientific computing</x:v>
      </x:c>
      <x:c r="E136" s="143" t="str">
        <x:v>Isomorphic Labs</x:v>
      </x:c>
      <x:c r="F136" s="143" t="str">
        <x:v>Isomorphic Labs</x:v>
      </x:c>
      <x:c r="G136" s="143" t="str">
        <x:v>https://www.isomorphiclabs.com/news</x:v>
      </x:c>
      <x:c r="H136" s="143" t="str">
        <x:v>https://www.isomorphiclabs.com/</x:v>
      </x:c>
      <x:c r="I136" s="142" t="n">
        <x:v>5</x:v>
      </x:c>
      <x:c r="J136" s="142" t="str">
        <x:v>No</x:v>
      </x:c>
      <x:c r="K136" s="143" t="str">
        <x:v>Official Isomorphic Labs science and platform updates.</x:v>
      </x:c>
      <x:c r="L136" s="142" t="str">
        <x:v>S</x:v>
      </x:c>
      <x:c r="M136" s="142" t="str">
        <x:v>Daily</x:v>
      </x:c>
      <x:c r="N136" s="143" t="str">
        <x:v>Artificial Intelligence | Biotechnology | Healthcare</x:v>
      </x:c>
    </x:row>
    <x:row r="137">
      <x:c r="A137" s="142" t="str">
        <x:v>Yes</x:v>
      </x:c>
      <x:c r="B137" s="143" t="str">
        <x:v>United States</x:v>
      </x:c>
      <x:c r="C137" s="143" t="str">
        <x:v>United States</x:v>
      </x:c>
      <x:c r="D137" s="143" t="str">
        <x:v>Surgical robotics, medical devices, AI and clinical evidence</x:v>
      </x:c>
      <x:c r="E137" s="143" t="str">
        <x:v>Intuitive Surgical</x:v>
      </x:c>
      <x:c r="F137" s="143" t="str">
        <x:v>Intuitive Surgical</x:v>
      </x:c>
      <x:c r="G137" s="143" t="str">
        <x:v>https://www.intuitive.com/en-us/about-us/newsroom</x:v>
      </x:c>
      <x:c r="H137" s="143" t="str">
        <x:v>https://www.intuitive.com/en-us/about-us/newsroom</x:v>
      </x:c>
      <x:c r="I137" s="142" t="n">
        <x:v>4</x:v>
      </x:c>
      <x:c r="J137" s="142" t="str">
        <x:v>No</x:v>
      </x:c>
      <x:c r="K137" s="143" t="str">
        <x:v>Official Intuitive releases; strict filter keeps robotic platforms, approvals and clinical evidence.</x:v>
      </x:c>
      <x:c r="L137" s="142" t="str">
        <x:v>A</x:v>
      </x:c>
      <x:c r="M137" s="142" t="str">
        <x:v>Daily</x:v>
      </x:c>
      <x:c r="N137" s="143" t="str">
        <x:v>Healthcare | Robotics | Artificial Intelligence</x:v>
      </x:c>
    </x:row>
    <x:row r="138">
      <x:c r="A138" s="142" t="str">
        <x:v>Yes</x:v>
      </x:c>
      <x:c r="B138" s="143" t="str">
        <x:v>United States</x:v>
      </x:c>
      <x:c r="C138" s="143" t="str">
        <x:v>United States</x:v>
      </x:c>
      <x:c r="D138" s="143" t="str">
        <x:v>Commercial space stations, spacesuits, microgravity research, manufacturing and AI</x:v>
      </x:c>
      <x:c r="E138" s="143" t="str">
        <x:v>Axiom Space</x:v>
      </x:c>
      <x:c r="F138" s="143" t="str">
        <x:v>Axiom Space</x:v>
      </x:c>
      <x:c r="G138" s="143" t="str">
        <x:v>https://www.axiomspace.com/newsroom</x:v>
      </x:c>
      <x:c r="H138" s="143" t="str">
        <x:v>https://www.axiomspace.com/</x:v>
      </x:c>
      <x:c r="I138" s="142" t="n">
        <x:v>5</x:v>
      </x:c>
      <x:c r="J138" s="142" t="str">
        <x:v>No</x:v>
      </x:c>
      <x:c r="K138" s="143" t="str">
        <x:v>Official Axiom Space newsroom.</x:v>
      </x:c>
      <x:c r="L138" s="142" t="str">
        <x:v>S</x:v>
      </x:c>
      <x:c r="M138" s="142" t="str">
        <x:v>Daily</x:v>
      </x:c>
      <x:c r="N138" s="143" t="str">
        <x:v>Space | Healthcare | Biotechnology | Artificial Intelligence</x:v>
      </x:c>
    </x:row>
    <x:row r="139">
      <x:c r="A139" s="142" t="str">
        <x:v>Yes</x:v>
      </x:c>
      <x:c r="B139" s="143" t="str">
        <x:v>EU &amp; Europe</x:v>
      </x:c>
      <x:c r="C139" s="143" t="str">
        <x:v>Finland</x:v>
      </x:c>
      <x:c r="D139" s="143" t="str">
        <x:v>SAR satellites, Earth observation, AI, semiconductors and communications</x:v>
      </x:c>
      <x:c r="E139" s="143" t="str">
        <x:v>ICEYE</x:v>
      </x:c>
      <x:c r="F139" s="143" t="str">
        <x:v>ICEYE</x:v>
      </x:c>
      <x:c r="G139" s="143" t="str">
        <x:v>https://www.iceye.com/newsroom/press-releases</x:v>
      </x:c>
      <x:c r="H139" s="143" t="str">
        <x:v>https://www.iceye.com/</x:v>
      </x:c>
      <x:c r="I139" s="142" t="n">
        <x:v>5</x:v>
      </x:c>
      <x:c r="J139" s="142" t="str">
        <x:v>No</x:v>
      </x:c>
      <x:c r="K139" s="143" t="str">
        <x:v>Official ICEYE press releases.</x:v>
      </x:c>
      <x:c r="L139" s="142" t="str">
        <x:v>S</x:v>
      </x:c>
      <x:c r="M139" s="142" t="str">
        <x:v>Daily</x:v>
      </x:c>
      <x:c r="N139" s="143" t="str">
        <x:v>Space | Artificial Intelligence | Semiconductors &amp; Telecom</x:v>
      </x:c>
    </x:row>
    <x:row r="140">
      <x:c r="A140" s="142" t="str">
        <x:v>Yes</x:v>
      </x:c>
      <x:c r="B140" s="143" t="str">
        <x:v>United States</x:v>
      </x:c>
      <x:c r="C140" s="143" t="str">
        <x:v>United States</x:v>
      </x:c>
      <x:c r="D140" s="143" t="str">
        <x:v>Space stations, spacecraft, microgravity healthcare and AI</x:v>
      </x:c>
      <x:c r="E140" s="143" t="str">
        <x:v>Sierra Space</x:v>
      </x:c>
      <x:c r="F140" s="143" t="str">
        <x:v>Sierra Space</x:v>
      </x:c>
      <x:c r="G140" s="143" t="str">
        <x:v>https://www.sierraspace.com/newsroom/</x:v>
      </x:c>
      <x:c r="H140" s="143" t="str">
        <x:v>https://www.sierraspace.com/</x:v>
      </x:c>
      <x:c r="I140" s="142" t="n">
        <x:v>5</x:v>
      </x:c>
      <x:c r="J140" s="142" t="str">
        <x:v>No</x:v>
      </x:c>
      <x:c r="K140" s="143" t="str">
        <x:v>Official Sierra Space press releases and technology blog; personnel and culture posts are excluded.</x:v>
      </x:c>
      <x:c r="L140" s="142" t="str">
        <x:v>S</x:v>
      </x:c>
      <x:c r="M140" s="142" t="str">
        <x:v>Daily</x:v>
      </x:c>
      <x:c r="N140" s="143" t="str">
        <x:v>Space | Healthcare | Biotechnology | Artificial Intelligence</x:v>
      </x:c>
    </x:row>
    <x:row r="141">
      <x:c r="A141" s="142" t="str">
        <x:v>Yes</x:v>
      </x:c>
      <x:c r="B141" s="143" t="str">
        <x:v>United States</x:v>
      </x:c>
      <x:c r="C141" s="143" t="str">
        <x:v>United States</x:v>
      </x:c>
      <x:c r="D141" s="143" t="str">
        <x:v>Earth observation satellites, AI, communications and space data platforms</x:v>
      </x:c>
      <x:c r="E141" s="143" t="str">
        <x:v>Planet</x:v>
      </x:c>
      <x:c r="F141" s="143" t="str">
        <x:v>Planet Labs</x:v>
      </x:c>
      <x:c r="G141" s="143" t="str">
        <x:v>https://www.planet.com/pulse/category/tech/</x:v>
      </x:c>
      <x:c r="H141" s="143" t="str">
        <x:v>https://www.planet.com/</x:v>
      </x:c>
      <x:c r="I141" s="142" t="n">
        <x:v>4</x:v>
      </x:c>
      <x:c r="J141" s="142" t="str">
        <x:v>No</x:v>
      </x:c>
      <x:c r="K141" s="143" t="str">
        <x:v>Official Planet technology category; strict filter keeps hardware, R&amp;D, constellations and platform engineering.</x:v>
      </x:c>
      <x:c r="L141" s="142" t="str">
        <x:v>A</x:v>
      </x:c>
      <x:c r="M141" s="142" t="str">
        <x:v>Daily</x:v>
      </x:c>
      <x:c r="N141" s="143" t="str">
        <x:v>Space | Artificial Intelligence | Semiconductors &amp; Telecom</x:v>
      </x:c>
    </x:row>
    <x:row r="142">
      <x:c r="A142" s="142" t="str">
        <x:v>Yes</x:v>
      </x:c>
      <x:c r="B142" s="143" t="str">
        <x:v>United States</x:v>
      </x:c>
      <x:c r="C142" s="143" t="str">
        <x:v>United States</x:v>
      </x:c>
      <x:c r="D142" s="143" t="str">
        <x:v>Small satellites, autonomous operations, AI, manufacturing and communications</x:v>
      </x:c>
      <x:c r="E142" s="143" t="str">
        <x:v>Spire Global</x:v>
      </x:c>
      <x:c r="F142" s="143" t="str">
        <x:v>Spire Global</x:v>
      </x:c>
      <x:c r="G142" s="143" t="str">
        <x:v>https://ir.spire.com/news-events/press-releases/rss</x:v>
      </x:c>
      <x:c r="H142" s="143" t="str">
        <x:v>https://ir.spire.com/news-events/press-releases</x:v>
      </x:c>
      <x:c r="I142" s="142" t="n">
        <x:v>4</x:v>
      </x:c>
      <x:c r="J142" s="142" t="str">
        <x:v>Yes</x:v>
      </x:c>
      <x:c r="K142" s="143" t="str">
        <x:v>Official Spire RSS; strict filter removes earnings and personnel announcements.</x:v>
      </x:c>
      <x:c r="L142" s="142" t="str">
        <x:v>A</x:v>
      </x:c>
      <x:c r="M142" s="142" t="str">
        <x:v>Daily</x:v>
      </x:c>
      <x:c r="N142" s="143" t="str">
        <x:v>Space | Artificial Intelligence | Semiconductors &amp; Telecom</x:v>
      </x:c>
    </x:row>
    <x:row r="143">
      <x:c r="A143" s="142" t="str">
        <x:v>Yes</x:v>
      </x:c>
      <x:c r="B143" s="143" t="str">
        <x:v>United States</x:v>
      </x:c>
      <x:c r="C143" s="143" t="str">
        <x:v>United States</x:v>
      </x:c>
      <x:c r="D143" s="143" t="str">
        <x:v>AI, semiconductors, healthcare and robotics research</x:v>
      </x:c>
      <x:c r="E143" s="143" t="str">
        <x:v>Apple Machine Learning Research</x:v>
      </x:c>
      <x:c r="F143" s="143" t="str">
        <x:v>Apple</x:v>
      </x:c>
      <x:c r="G143" s="143" t="str">
        <x:v>https://machinelearning.apple.com/highlights</x:v>
      </x:c>
      <x:c r="H143" s="143" t="str">
        <x:v>https://machinelearning.apple.com/</x:v>
      </x:c>
      <x:c r="I143" s="142" t="n">
        <x:v>5</x:v>
      </x:c>
      <x:c r="J143" s="142" t="str">
        <x:v>No</x:v>
      </x:c>
      <x:c r="K143" s="143" t="str">
        <x:v>Official Apple machine-learning research highlights.</x:v>
      </x:c>
      <x:c r="L143" s="142" t="str">
        <x:v>S</x:v>
      </x:c>
      <x:c r="M143" s="142" t="str">
        <x:v>Daily</x:v>
      </x:c>
      <x:c r="N143" s="143" t="str">
        <x:v>Artificial Intelligence | Semiconductors &amp; Telecom | Healthcare | Robotics</x:v>
      </x:c>
    </x:row>
    <x:row r="144">
      <x:c r="A144" s="142" t="str">
        <x:v>Yes</x:v>
      </x:c>
      <x:c r="B144" s="143" t="str">
        <x:v>Global</x:v>
      </x:c>
      <x:c r="C144" s="143" t="str">
        <x:v>Canada</x:v>
      </x:c>
      <x:c r="D144" s="143" t="str">
        <x:v>Enterprise AI, foundation models and AI research</x:v>
      </x:c>
      <x:c r="E144" s="143" t="str">
        <x:v>Cohere</x:v>
      </x:c>
      <x:c r="F144" s="143" t="str">
        <x:v>Cohere</x:v>
      </x:c>
      <x:c r="G144" s="143" t="str">
        <x:v>https://cohere.com/blog</x:v>
      </x:c>
      <x:c r="H144" s="143" t="str">
        <x:v>https://cohere.com/</x:v>
      </x:c>
      <x:c r="I144" s="142" t="n">
        <x:v>4</x:v>
      </x:c>
      <x:c r="J144" s="142" t="str">
        <x:v>No</x:v>
      </x:c>
      <x:c r="K144" s="143" t="str">
        <x:v>Official Cohere blog; strict filter removes recruiting and product-marketing-only posts.</x:v>
      </x:c>
      <x:c r="L144" s="142" t="str">
        <x:v>A</x:v>
      </x:c>
      <x:c r="M144" s="142" t="str">
        <x:v>Daily</x:v>
      </x:c>
      <x:c r="N144" s="143" t="str">
        <x:v>Artificial Intelligence</x:v>
      </x:c>
    </x:row>
    <x:row r="145">
      <x:c r="A145" s="142" t="str">
        <x:v>Yes</x:v>
      </x:c>
      <x:c r="B145" s="143" t="str">
        <x:v>United States</x:v>
      </x:c>
      <x:c r="C145" s="143" t="str">
        <x:v>United States</x:v>
      </x:c>
      <x:c r="D145" s="143" t="str">
        <x:v>Foundation models, AI research, compute infrastructure and space-linked AI</x:v>
      </x:c>
      <x:c r="E145" s="143" t="str">
        <x:v>xAI</x:v>
      </x:c>
      <x:c r="F145" s="143" t="str">
        <x:v>xAI</x:v>
      </x:c>
      <x:c r="G145" s="143" t="str">
        <x:v>https://x.ai/news</x:v>
      </x:c>
      <x:c r="H145" s="143" t="str">
        <x:v>https://x.ai/</x:v>
      </x:c>
      <x:c r="I145" s="142" t="n">
        <x:v>5</x:v>
      </x:c>
      <x:c r="J145" s="142" t="str">
        <x:v>No</x:v>
      </x:c>
      <x:c r="K145" s="143" t="str">
        <x:v>Official xAI news; keeps model, research and compute-infrastructure developments.</x:v>
      </x:c>
      <x:c r="L145" s="142" t="str">
        <x:v>S</x:v>
      </x:c>
      <x:c r="M145" s="142" t="str">
        <x:v>Daily</x:v>
      </x:c>
      <x:c r="N145" s="143" t="str">
        <x:v>Artificial Intelligence | Space | Semiconductors &amp; Telecom</x:v>
      </x:c>
    </x:row>
    <x:row r="146">
      <x:c r="A146" s="142" t="str">
        <x:v>Yes</x:v>
      </x:c>
      <x:c r="B146" s="143" t="str">
        <x:v>United States</x:v>
      </x:c>
      <x:c r="C146" s="143" t="str">
        <x:v>United States</x:v>
      </x:c>
      <x:c r="D146" s="143" t="str">
        <x:v>Humanoid robotics, embodied AI and robotic computing</x:v>
      </x:c>
      <x:c r="E146" s="143" t="str">
        <x:v>Figure</x:v>
      </x:c>
      <x:c r="F146" s="143" t="str">
        <x:v>Figure AI</x:v>
      </x:c>
      <x:c r="G146" s="143" t="str">
        <x:v>https://www.figure.ai/news</x:v>
      </x:c>
      <x:c r="H146" s="143" t="str">
        <x:v>https://www.figure.ai/</x:v>
      </x:c>
      <x:c r="I146" s="142" t="n">
        <x:v>5</x:v>
      </x:c>
      <x:c r="J146" s="142" t="str">
        <x:v>No</x:v>
      </x:c>
      <x:c r="K146" s="143" t="str">
        <x:v>Official Figure news; fundraising-only items require a concrete R&amp;D or deployment change.</x:v>
      </x:c>
      <x:c r="L146" s="142" t="str">
        <x:v>S</x:v>
      </x:c>
      <x:c r="M146" s="142" t="str">
        <x:v>Daily</x:v>
      </x:c>
      <x:c r="N146" s="143" t="str">
        <x:v>Robotics | Artificial Intelligence | Semiconductors &amp; Telecom</x:v>
      </x:c>
    </x:row>
    <x:row r="147">
      <x:c r="A147" s="142" t="str">
        <x:v>Yes</x:v>
      </x:c>
      <x:c r="B147" s="143" t="str">
        <x:v>United States</x:v>
      </x:c>
      <x:c r="C147" s="143" t="str">
        <x:v>United States</x:v>
      </x:c>
      <x:c r="D147" s="143" t="str">
        <x:v>Robotics foundation models and embodied AI research</x:v>
      </x:c>
      <x:c r="E147" s="143" t="str">
        <x:v>Physical Intelligence</x:v>
      </x:c>
      <x:c r="F147" s="143" t="str">
        <x:v>Physical Intelligence</x:v>
      </x:c>
      <x:c r="G147" s="143" t="str">
        <x:v>https://www.pi.website/blog</x:v>
      </x:c>
      <x:c r="H147" s="143" t="str">
        <x:v>https://www.pi.website/</x:v>
      </x:c>
      <x:c r="I147" s="142" t="n">
        <x:v>5</x:v>
      </x:c>
      <x:c r="J147" s="142" t="str">
        <x:v>No</x:v>
      </x:c>
      <x:c r="K147" s="143" t="str">
        <x:v>Official Physical Intelligence research blog.</x:v>
      </x:c>
      <x:c r="L147" s="142" t="str">
        <x:v>S</x:v>
      </x:c>
      <x:c r="M147" s="142" t="str">
        <x:v>Daily</x:v>
      </x:c>
      <x:c r="N147" s="143" t="str">
        <x:v>Robotics | Artificial Intelligence</x:v>
      </x:c>
    </x:row>
    <x:row r="148">
      <x:c r="A148" s="142" t="str">
        <x:v>Yes</x:v>
      </x:c>
      <x:c r="B148" s="143" t="str">
        <x:v>United States</x:v>
      </x:c>
      <x:c r="C148" s="143" t="str">
        <x:v>United States</x:v>
      </x:c>
      <x:c r="D148" s="143" t="str">
        <x:v>Semiconductors, AI computing, robotics, telecommunications and quantum-enabling hardware</x:v>
      </x:c>
      <x:c r="E148" s="143" t="str">
        <x:v>AMD</x:v>
      </x:c>
      <x:c r="F148" s="143" t="str">
        <x:v>AMD</x:v>
      </x:c>
      <x:c r="G148" s="143" t="str">
        <x:v>https://newsroom.amd.com/all-news/</x:v>
      </x:c>
      <x:c r="H148" s="143" t="str">
        <x:v>https://www.amd.com/</x:v>
      </x:c>
      <x:c r="I148" s="142" t="n">
        <x:v>5</x:v>
      </x:c>
      <x:c r="J148" s="142" t="str">
        <x:v>No</x:v>
      </x:c>
      <x:c r="K148" s="143" t="str">
        <x:v>Official AMD newsroom with strict R&amp;D, manufacturing, investment and implementation filtering.</x:v>
      </x:c>
      <x:c r="L148" s="142" t="str">
        <x:v>S</x:v>
      </x:c>
      <x:c r="M148" s="142" t="str">
        <x:v>Daily</x:v>
      </x:c>
      <x:c r="N148" s="143" t="str">
        <x:v>Semiconductors &amp; Telecom | Artificial Intelligence | Robotics | Quantum</x:v>
      </x:c>
    </x:row>
    <x:row r="149">
      <x:c r="A149" s="142" t="str">
        <x:v>Yes</x:v>
      </x:c>
      <x:c r="B149" s="143" t="str">
        <x:v>United States</x:v>
      </x:c>
      <x:c r="C149" s="143" t="str">
        <x:v>United States</x:v>
      </x:c>
      <x:c r="D149" s="143" t="str">
        <x:v>Semiconductor process equipment, advanced manufacturing and AI infrastructure</x:v>
      </x:c>
      <x:c r="E149" s="143" t="str">
        <x:v>Lam Research</x:v>
      </x:c>
      <x:c r="F149" s="143" t="str">
        <x:v>Lam Research</x:v>
      </x:c>
      <x:c r="G149" s="143" t="str">
        <x:v>https://newsroom.lamresearch.com/blog</x:v>
      </x:c>
      <x:c r="H149" s="143" t="str">
        <x:v>https://www.lamresearch.com/</x:v>
      </x:c>
      <x:c r="I149" s="142" t="n">
        <x:v>5</x:v>
      </x:c>
      <x:c r="J149" s="142" t="str">
        <x:v>No</x:v>
      </x:c>
      <x:c r="K149" s="143" t="str">
        <x:v>Official Lam Research technology blog.</x:v>
      </x:c>
      <x:c r="L149" s="142" t="str">
        <x:v>S</x:v>
      </x:c>
      <x:c r="M149" s="142" t="str">
        <x:v>Daily</x:v>
      </x:c>
      <x:c r="N149" s="143" t="str">
        <x:v>Semiconductors &amp; Telecom | Artificial Intelligence</x:v>
      </x:c>
    </x:row>
    <x:row r="150">
      <x:c r="A150" s="142" t="str">
        <x:v>Yes</x:v>
      </x:c>
      <x:c r="B150" s="143" t="str">
        <x:v>United States</x:v>
      </x:c>
      <x:c r="C150" s="143" t="str">
        <x:v>United States</x:v>
      </x:c>
      <x:c r="D150" s="143" t="str">
        <x:v>Memory semiconductors, HBM, AI infrastructure, fabs and R&amp;D investment</x:v>
      </x:c>
      <x:c r="E150" s="143" t="str">
        <x:v>Micron</x:v>
      </x:c>
      <x:c r="F150" s="143" t="str">
        <x:v>Micron Technology</x:v>
      </x:c>
      <x:c r="G150" s="143" t="str">
        <x:v>https://investors.micron.com/latest-news</x:v>
      </x:c>
      <x:c r="H150" s="143" t="str">
        <x:v>https://www.micron.com/</x:v>
      </x:c>
      <x:c r="I150" s="142" t="n">
        <x:v>4</x:v>
      </x:c>
      <x:c r="J150" s="142" t="str">
        <x:v>No</x:v>
      </x:c>
      <x:c r="K150" s="143" t="str">
        <x:v>Official Micron releases; strict filter keeps HBM, process nodes, fabs, R&amp;D and capex while excluding routine finance.</x:v>
      </x:c>
      <x:c r="L150" s="142" t="str">
        <x:v>A</x:v>
      </x:c>
      <x:c r="M150" s="142" t="str">
        <x:v>Daily</x:v>
      </x:c>
      <x:c r="N150" s="143" t="str">
        <x:v>Semiconductors &amp; Telecom | Artificial Intelligence</x:v>
      </x:c>
    </x:row>
    <x:row r="151">
      <x:c r="A151" s="142" t="str">
        <x:v>Yes</x:v>
      </x:c>
      <x:c r="B151" s="143" t="str">
        <x:v>Asia</x:v>
      </x:c>
      <x:c r="C151" s="143" t="str">
        <x:v>Taiwan</x:v>
      </x:c>
      <x:c r="D151" s="143" t="str">
        <x:v>Semiconductors, telecommunications, AI, robotics and satellite communications</x:v>
      </x:c>
      <x:c r="E151" s="143" t="str">
        <x:v>MediaTek</x:v>
      </x:c>
      <x:c r="F151" s="143" t="str">
        <x:v>MediaTek</x:v>
      </x:c>
      <x:c r="G151" s="143" t="str">
        <x:v>https://www.mediatek.com/press-room</x:v>
      </x:c>
      <x:c r="H151" s="143" t="str">
        <x:v>https://www.mediatek.com/</x:v>
      </x:c>
      <x:c r="I151" s="142" t="n">
        <x:v>5</x:v>
      </x:c>
      <x:c r="J151" s="142" t="str">
        <x:v>No</x:v>
      </x:c>
      <x:c r="K151" s="143" t="str">
        <x:v>Official MediaTek press room.</x:v>
      </x:c>
      <x:c r="L151" s="142" t="str">
        <x:v>S</x:v>
      </x:c>
      <x:c r="M151" s="142" t="str">
        <x:v>Daily</x:v>
      </x:c>
      <x:c r="N151" s="143" t="str">
        <x:v>Semiconductors &amp; Telecom | Artificial Intelligence | Robotics | Space</x:v>
      </x:c>
    </x:row>
    <x:row r="152">
      <x:c r="A152" s="142" t="str">
        <x:v>Yes</x:v>
      </x:c>
      <x:c r="B152" s="143" t="str">
        <x:v>Asia</x:v>
      </x:c>
      <x:c r="C152" s="143" t="str">
        <x:v>China</x:v>
      </x:c>
      <x:c r="D152" s="143" t="str">
        <x:v>Telecommunications, semiconductors, AI, robotics and digital health R&amp;D</x:v>
      </x:c>
      <x:c r="E152" s="143" t="str">
        <x:v>Huawei</x:v>
      </x:c>
      <x:c r="F152" s="143" t="str">
        <x:v>Huawei</x:v>
      </x:c>
      <x:c r="G152" s="143" t="str">
        <x:v>https://www.huawei.com/en/news</x:v>
      </x:c>
      <x:c r="H152" s="143" t="str">
        <x:v>https://www.huawei.com/en/</x:v>
      </x:c>
      <x:c r="I152" s="142" t="n">
        <x:v>4</x:v>
      </x:c>
      <x:c r="J152" s="142" t="str">
        <x:v>No</x:v>
      </x:c>
      <x:c r="K152" s="143" t="str">
        <x:v>Official Huawei news; very strict filtering keeps research, engineering, demonstrations and standards.</x:v>
      </x:c>
      <x:c r="L152" s="142" t="str">
        <x:v>A</x:v>
      </x:c>
      <x:c r="M152" s="142" t="str">
        <x:v>Daily</x:v>
      </x:c>
      <x:c r="N152" s="143" t="str">
        <x:v>Semiconductors &amp; Telecom | Artificial Intelligence | Robotics | Healthcare</x:v>
      </x:c>
    </x:row>
    <x:row r="153">
      <x:c r="A153" s="142" t="str">
        <x:v>Yes</x:v>
      </x:c>
      <x:c r="B153" s="143" t="str">
        <x:v>United States</x:v>
      </x:c>
      <x:c r="C153" s="143" t="str">
        <x:v>United States</x:v>
      </x:c>
      <x:c r="D153" s="143" t="str">
        <x:v>Photonic quantum computing and semiconductor manufacturing</x:v>
      </x:c>
      <x:c r="E153" s="143" t="str">
        <x:v>PsiQuantum</x:v>
      </x:c>
      <x:c r="F153" s="143" t="str">
        <x:v>PsiQuantum</x:v>
      </x:c>
      <x:c r="G153" s="143" t="str">
        <x:v>https://www.psiquantum.com/news-import</x:v>
      </x:c>
      <x:c r="H153" s="143" t="str">
        <x:v>https://www.psiquantum.com/</x:v>
      </x:c>
      <x:c r="I153" s="142" t="n">
        <x:v>5</x:v>
      </x:c>
      <x:c r="J153" s="142" t="str">
        <x:v>No</x:v>
      </x:c>
      <x:c r="K153" s="143" t="str">
        <x:v>Official PsiQuantum static news archive.</x:v>
      </x:c>
      <x:c r="L153" s="142" t="str">
        <x:v>S</x:v>
      </x:c>
      <x:c r="M153" s="142" t="str">
        <x:v>Daily</x:v>
      </x:c>
      <x:c r="N153" s="143" t="str">
        <x:v>Quantum | Semiconductors &amp; Telecom</x:v>
      </x:c>
    </x:row>
    <x:row r="154">
      <x:c r="A154" s="142" t="str">
        <x:v>Yes</x:v>
      </x:c>
      <x:c r="B154" s="143" t="str">
        <x:v>United States</x:v>
      </x:c>
      <x:c r="C154" s="143" t="str">
        <x:v>United States</x:v>
      </x:c>
      <x:c r="D154" s="143" t="str">
        <x:v>Quantum computing hardware, processors, performance and deployment</x:v>
      </x:c>
      <x:c r="E154" s="143" t="str">
        <x:v>Rigetti</x:v>
      </x:c>
      <x:c r="F154" s="143" t="str">
        <x:v>Rigetti Computing</x:v>
      </x:c>
      <x:c r="G154" s="143" t="str">
        <x:v>https://investors.rigetti.com/news-events/news-releases/</x:v>
      </x:c>
      <x:c r="H154" s="143" t="str">
        <x:v>https://www.rigetti.com/</x:v>
      </x:c>
      <x:c r="I154" s="142" t="n">
        <x:v>4</x:v>
      </x:c>
      <x:c r="J154" s="142" t="str">
        <x:v>No</x:v>
      </x:c>
      <x:c r="K154" s="143" t="str">
        <x:v>Official Rigetti releases; strict filter excludes earnings, financing and IR events.</x:v>
      </x:c>
      <x:c r="L154" s="142" t="str">
        <x:v>A</x:v>
      </x:c>
      <x:c r="M154" s="142" t="str">
        <x:v>Daily</x:v>
      </x:c>
      <x:c r="N154" s="143" t="str">
        <x:v>Quantum | Semiconductors &amp; Telecom</x:v>
      </x:c>
    </x:row>
    <x:row r="155">
      <x:c r="A155" s="142" t="str">
        <x:v>Yes</x:v>
      </x:c>
      <x:c r="B155" s="143" t="str">
        <x:v>Global</x:v>
      </x:c>
      <x:c r="C155" s="143" t="str">
        <x:v>Canada</x:v>
      </x:c>
      <x:c r="D155" s="143" t="str">
        <x:v>Quantum annealing, gate-model research and AI applications</x:v>
      </x:c>
      <x:c r="E155" s="143" t="str">
        <x:v>D-Wave</x:v>
      </x:c>
      <x:c r="F155" s="143" t="str">
        <x:v>D-Wave Quantum</x:v>
      </x:c>
      <x:c r="G155" s="143" t="str">
        <x:v>https://www.dwavequantum.com/company/newsroom/</x:v>
      </x:c>
      <x:c r="H155" s="143" t="str">
        <x:v>https://www.dwavequantum.com/</x:v>
      </x:c>
      <x:c r="I155" s="142" t="n">
        <x:v>4</x:v>
      </x:c>
      <x:c r="J155" s="142" t="str">
        <x:v>No</x:v>
      </x:c>
      <x:c r="K155" s="143" t="str">
        <x:v>Official D-Wave releases; strict filter removes routine public-company announcements.</x:v>
      </x:c>
      <x:c r="L155" s="142" t="str">
        <x:v>A</x:v>
      </x:c>
      <x:c r="M155" s="142" t="str">
        <x:v>Daily</x:v>
      </x:c>
      <x:c r="N155" s="143" t="str">
        <x:v>Quantum | Artificial Intelligence</x:v>
      </x:c>
    </x:row>
    <x:row r="156">
      <x:c r="A156" s="142" t="str">
        <x:v>Yes</x:v>
      </x:c>
      <x:c r="B156" s="143" t="str">
        <x:v>EU &amp; Europe</x:v>
      </x:c>
      <x:c r="C156" s="143" t="str">
        <x:v>France</x:v>
      </x:c>
      <x:c r="D156" s="143" t="str">
        <x:v>Neutral-atom quantum computing, software, research and deployment</x:v>
      </x:c>
      <x:c r="E156" s="143" t="str">
        <x:v>Pasqal</x:v>
      </x:c>
      <x:c r="F156" s="143" t="str">
        <x:v>Pasqal</x:v>
      </x:c>
      <x:c r="G156" s="143" t="str">
        <x:v>https://www.pasqal.com/newsroom/</x:v>
      </x:c>
      <x:c r="H156" s="143" t="str">
        <x:v>https://www.pasqal.com/</x:v>
      </x:c>
      <x:c r="I156" s="142" t="n">
        <x:v>5</x:v>
      </x:c>
      <x:c r="J156" s="142" t="str">
        <x:v>No</x:v>
      </x:c>
      <x:c r="K156" s="143" t="str">
        <x:v>Official Pasqal newsroom.</x:v>
      </x:c>
      <x:c r="L156" s="142" t="str">
        <x:v>S</x:v>
      </x:c>
      <x:c r="M156" s="142" t="str">
        <x:v>Daily</x:v>
      </x:c>
      <x:c r="N156" s="143" t="str">
        <x:v>Quantum | Artificial Intelligence | Semiconductors &amp; Telecom | Healthcare</x:v>
      </x:c>
    </x:row>
    <x:row r="157">
      <x:c r="A157" s="142" t="str">
        <x:v>Yes</x:v>
      </x:c>
      <x:c r="B157" s="143" t="str">
        <x:v>United States</x:v>
      </x:c>
      <x:c r="C157" s="143" t="str">
        <x:v>United States</x:v>
      </x:c>
      <x:c r="D157" s="143" t="str">
        <x:v>Neutral-atom quantum computing, processors, algorithms and AI</x:v>
      </x:c>
      <x:c r="E157" s="143" t="str">
        <x:v>QuEra</x:v>
      </x:c>
      <x:c r="F157" s="143" t="str">
        <x:v>QuEra Computing</x:v>
      </x:c>
      <x:c r="G157" s="143" t="str">
        <x:v>https://www.quera.com/news</x:v>
      </x:c>
      <x:c r="H157" s="143" t="str">
        <x:v>https://www.quera.com/</x:v>
      </x:c>
      <x:c r="I157" s="142" t="n">
        <x:v>5</x:v>
      </x:c>
      <x:c r="J157" s="142" t="str">
        <x:v>No</x:v>
      </x:c>
      <x:c r="K157" s="143" t="str">
        <x:v>Official QuEra press releases only; webinars and external coverage are excluded.</x:v>
      </x:c>
      <x:c r="L157" s="142" t="str">
        <x:v>S</x:v>
      </x:c>
      <x:c r="M157" s="142" t="str">
        <x:v>Daily</x:v>
      </x:c>
      <x:c r="N157" s="143" t="str">
        <x:v>Quantum | Semiconductors &amp; Telecom | Artificial Intelligence</x:v>
      </x:c>
    </x:row>
    <x:row r="158">
      <x:c r="A158" s="142" t="str">
        <x:v>Yes</x:v>
      </x:c>
      <x:c r="B158" s="143" t="str">
        <x:v>EU &amp; Europe</x:v>
      </x:c>
      <x:c r="C158" s="143" t="str">
        <x:v>United Kingdom</x:v>
      </x:c>
      <x:c r="D158" s="143" t="str">
        <x:v>Research funding, science policy, national programs and research results</x:v>
      </x:c>
      <x:c r="E158" s="143" t="str">
        <x:v>UKRI</x:v>
      </x:c>
      <x:c r="F158" s="143" t="str">
        <x:v>UK Research and Innovation</x:v>
      </x:c>
      <x:c r="G158" s="143" t="str">
        <x:v>https://www.ukri.org/news/feed/</x:v>
      </x:c>
      <x:c r="H158" s="143" t="str">
        <x:v>https://www.ukri.org/news/</x:v>
      </x:c>
      <x:c r="I158" s="142" t="n">
        <x:v>5</x:v>
      </x:c>
      <x:c r="J158" s="142" t="str">
        <x:v>Yes</x:v>
      </x:c>
      <x:c r="K158" s="143" t="str">
        <x:v>Official UKRI news feed.</x:v>
      </x:c>
      <x:c r="L158" s="142" t="str">
        <x:v>S</x:v>
      </x:c>
      <x:c r="M158" s="142" t="str">
        <x:v>Daily</x:v>
      </x:c>
      <x:c r="N158" s="143" t="str">
        <x:v>Artificial Intelligence | Robotics | Semiconductors &amp; Telecom | Quantum | Fusion Energy | Biotechnology | Healthcare | Space</x:v>
      </x:c>
    </x:row>
    <x:row r="159">
      <x:c r="A159" s="142" t="str">
        <x:v>Yes</x:v>
      </x:c>
      <x:c r="B159" s="143" t="str">
        <x:v>EU &amp; Europe</x:v>
      </x:c>
      <x:c r="C159" s="143" t="str">
        <x:v>United Kingdom</x:v>
      </x:c>
      <x:c r="D159" s="143" t="str">
        <x:v>Innovation funding, business R&amp;D, demonstrations and commercialization</x:v>
      </x:c>
      <x:c r="E159" s="143" t="str">
        <x:v>Innovate UK</x:v>
      </x:c>
      <x:c r="F159" s="143" t="str">
        <x:v>Innovate UK</x:v>
      </x:c>
      <x:c r="G159" s="143" t="str">
        <x:v>https://www.ukri.org/news/feed/?cat=52</x:v>
      </x:c>
      <x:c r="H159" s="143" t="str">
        <x:v>https://www.ukri.org/councils/innovate-uk/news/</x:v>
      </x:c>
      <x:c r="I159" s="142" t="n">
        <x:v>5</x:v>
      </x:c>
      <x:c r="J159" s="142" t="str">
        <x:v>Yes</x:v>
      </x:c>
      <x:c r="K159" s="143" t="str">
        <x:v>Official Innovate UK category feed; canonical article URLs remove overlap with UKRI.</x:v>
      </x:c>
      <x:c r="L159" s="142" t="str">
        <x:v>S</x:v>
      </x:c>
      <x:c r="M159" s="142" t="str">
        <x:v>Daily</x:v>
      </x:c>
      <x:c r="N159" s="143" t="str">
        <x:v>Artificial Intelligence | Robotics | Semiconductors &amp; Telecom | Quantum | Fusion Energy | Biotechnology | Healthcare | Space</x:v>
      </x:c>
    </x:row>
    <x:row r="160">
      <x:c r="A160" s="142" t="str">
        <x:v>Yes</x:v>
      </x:c>
      <x:c r="B160" s="143" t="str">
        <x:v>EU &amp; Europe</x:v>
      </x:c>
      <x:c r="C160" s="143" t="str">
        <x:v>United Kingdom</x:v>
      </x:c>
      <x:c r="D160" s="143" t="str">
        <x:v>High-risk research funding, opportunity spaces and R&amp;D programs</x:v>
      </x:c>
      <x:c r="E160" s="143" t="str">
        <x:v>ARIA</x:v>
      </x:c>
      <x:c r="F160" s="143" t="str">
        <x:v>Advanced Research and Invention Agency</x:v>
      </x:c>
      <x:c r="G160" s="143" t="str">
        <x:v>https://aria.org.uk/</x:v>
      </x:c>
      <x:c r="H160" s="143" t="str">
        <x:v>https://aria.org.uk/</x:v>
      </x:c>
      <x:c r="I160" s="142" t="n">
        <x:v>5</x:v>
      </x:c>
      <x:c r="J160" s="142" t="str">
        <x:v>No</x:v>
      </x:c>
      <x:c r="K160" s="143" t="str">
        <x:v>Official ARIA latest, opportunity-space, funding and insights pages.</x:v>
      </x:c>
      <x:c r="L160" s="142" t="str">
        <x:v>S</x:v>
      </x:c>
      <x:c r="M160" s="142" t="str">
        <x:v>Daily</x:v>
      </x:c>
      <x:c r="N160" s="143" t="str">
        <x:v>Artificial Intelligence | Robotics | Semiconductors &amp; Telecom | Quantum | Fusion Energy | Biotechnology | Healthcare</x:v>
      </x:c>
    </x:row>
    <x:row r="161">
      <x:c r="A161" s="142" t="str">
        <x:v>Yes</x:v>
      </x:c>
      <x:c r="B161" s="143" t="str">
        <x:v>EU &amp; Europe</x:v>
      </x:c>
      <x:c r="C161" s="143" t="str">
        <x:v>European Union</x:v>
      </x:c>
      <x:c r="D161" s="143" t="str">
        <x:v>EU-funded R&amp;D projects, research results and innovation programs</x:v>
      </x:c>
      <x:c r="E161" s="143" t="str">
        <x:v>CORDIS</x:v>
      </x:c>
      <x:c r="F161" s="143" t="str">
        <x:v>European Commission</x:v>
      </x:c>
      <x:c r="G161" s="143" t="str">
        <x:v>https://cordis.europa.eu/search/en?format=rss&amp;num=10&amp;p=1&amp;q=%2Farticle%2Frelations%2Fcategories%2Fcollection%2Fcode%3D%27news%27+AND+language%3D%27en%27+AND+%2Farticle%2Frelations%2Fcategories%2Fsource%2Fcode%3D%27editorial%27&amp;srt=contentUpdateDate%3Adecreasing</x:v>
      </x:c>
      <x:c r="H161" s="143" t="str">
        <x:v>https://cordis.europa.eu/news/en</x:v>
      </x:c>
      <x:c r="I161" s="142" t="n">
        <x:v>5</x:v>
      </x:c>
      <x:c r="J161" s="142" t="str">
        <x:v>Yes</x:v>
      </x:c>
      <x:c r="K161" s="143" t="str">
        <x:v>Official CORDIS editorial news RSS with strict eight-technology filtering.</x:v>
      </x:c>
      <x:c r="L161" s="142" t="str">
        <x:v>S</x:v>
      </x:c>
      <x:c r="M161" s="142" t="str">
        <x:v>Daily</x:v>
      </x:c>
      <x:c r="N161" s="143" t="str">
        <x:v>Artificial Intelligence | Robotics | Semiconductors &amp; Telecom | Quantum | Fusion Energy | Biotechnology | Healthcare | Space</x:v>
      </x:c>
    </x:row>
    <x:row r="162">
      <x:c r="A162" s="142" t="str">
        <x:v>Yes</x:v>
      </x:c>
      <x:c r="B162" s="143" t="str">
        <x:v>EU &amp; Europe</x:v>
      </x:c>
      <x:c r="C162" s="143" t="str">
        <x:v>European Union</x:v>
      </x:c>
      <x:c r="D162" s="143" t="str">
        <x:v>Supercomputing, AI infrastructure, quantum computing, semiconductors and R&amp;D funding</x:v>
      </x:c>
      <x:c r="E162" s="143" t="str">
        <x:v>EuroHPC JU</x:v>
      </x:c>
      <x:c r="F162" s="143" t="str">
        <x:v>European High Performance Computing Joint Undertaking</x:v>
      </x:c>
      <x:c r="G162" s="143" t="str">
        <x:v>https://www.eurohpc-ju.europa.eu/node/205/rss_en</x:v>
      </x:c>
      <x:c r="H162" s="143" t="str">
        <x:v>https://www.eurohpc-ju.europa.eu/media-events/press-releases_en</x:v>
      </x:c>
      <x:c r="I162" s="142" t="n">
        <x:v>5</x:v>
      </x:c>
      <x:c r="J162" s="142" t="str">
        <x:v>Yes</x:v>
      </x:c>
      <x:c r="K162" s="143" t="str">
        <x:v>Official EuroHPC Joint Undertaking press-release feed.</x:v>
      </x:c>
      <x:c r="L162" s="142" t="str">
        <x:v>S</x:v>
      </x:c>
      <x:c r="M162" s="142" t="str">
        <x:v>Daily</x:v>
      </x:c>
      <x:c r="N162" s="143" t="str">
        <x:v>Artificial Intelligence | Quantum | Semiconductors &amp; Telecom</x:v>
      </x:c>
    </x:row>
    <x:row r="163">
      <x:c r="A163" s="142" t="str">
        <x:v>Yes</x:v>
      </x:c>
      <x:c r="B163" s="143" t="str">
        <x:v>EU &amp; Europe</x:v>
      </x:c>
      <x:c r="C163" s="143" t="str">
        <x:v>European Union</x:v>
      </x:c>
      <x:c r="D163" s="143" t="str">
        <x:v>Semiconductor R&amp;D, pilot lines, funding, manufacturing and industrial policy</x:v>
      </x:c>
      <x:c r="E163" s="143" t="str">
        <x:v>Chips Joint Undertaking</x:v>
      </x:c>
      <x:c r="F163" s="143" t="str">
        <x:v>Chips Joint Undertaking</x:v>
      </x:c>
      <x:c r="G163" s="143" t="str">
        <x:v>https://www.chips-ju.europa.eu/News/</x:v>
      </x:c>
      <x:c r="H163" s="143" t="str">
        <x:v>https://www.chips-ju.europa.eu/</x:v>
      </x:c>
      <x:c r="I163" s="142" t="n">
        <x:v>5</x:v>
      </x:c>
      <x:c r="J163" s="142" t="str">
        <x:v>No</x:v>
      </x:c>
      <x:c r="K163" s="143" t="str">
        <x:v>Official Chips JU news listing.</x:v>
      </x:c>
      <x:c r="L163" s="142" t="str">
        <x:v>S</x:v>
      </x:c>
      <x:c r="M163" s="142" t="str">
        <x:v>Daily</x:v>
      </x:c>
      <x:c r="N163" s="143" t="str">
        <x:v>Semiconductors &amp; Telecom | Quantum | Artificial Intelligence</x:v>
      </x:c>
    </x:row>
    <x:row r="164">
      <x:c r="A164" s="142" t="str">
        <x:v>Yes</x:v>
      </x:c>
      <x:c r="B164" s="143" t="str">
        <x:v>EU &amp; Europe</x:v>
      </x:c>
      <x:c r="C164" s="143" t="str">
        <x:v>European Union</x:v>
      </x:c>
      <x:c r="D164" s="143" t="str">
        <x:v>Quantum computing, sensing, communications, research and commercialization</x:v>
      </x:c>
      <x:c r="E164" s="143" t="str">
        <x:v>European Quantum Flagship</x:v>
      </x:c>
      <x:c r="F164" s="143" t="str">
        <x:v>European Quantum Flagship</x:v>
      </x:c>
      <x:c r="G164" s="143" t="str">
        <x:v>https://qt.eu/news/</x:v>
      </x:c>
      <x:c r="H164" s="143" t="str">
        <x:v>https://qt.eu/</x:v>
      </x:c>
      <x:c r="I164" s="142" t="n">
        <x:v>5</x:v>
      </x:c>
      <x:c r="J164" s="142" t="str">
        <x:v>No</x:v>
      </x:c>
      <x:c r="K164" s="143" t="str">
        <x:v>Official European Quantum Flagship news.</x:v>
      </x:c>
      <x:c r="L164" s="142" t="str">
        <x:v>S</x:v>
      </x:c>
      <x:c r="M164" s="142" t="str">
        <x:v>Daily</x:v>
      </x:c>
      <x:c r="N164" s="143" t="str">
        <x:v>Quantum | Semiconductors &amp; Telecom</x:v>
      </x:c>
    </x:row>
    <x:row r="165">
      <x:c r="A165" s="142" t="str">
        <x:v>Yes</x:v>
      </x:c>
      <x:c r="B165" s="143" t="str">
        <x:v>EU &amp; Europe</x:v>
      </x:c>
      <x:c r="C165" s="143" t="str">
        <x:v>European Union</x:v>
      </x:c>
      <x:c r="D165" s="143" t="str">
        <x:v>Fusion energy, plasma R&amp;D, materials, facilities and European programs</x:v>
      </x:c>
      <x:c r="E165" s="143" t="str">
        <x:v>EUROfusion</x:v>
      </x:c>
      <x:c r="F165" s="143" t="str">
        <x:v>EUROfusion Consortium</x:v>
      </x:c>
      <x:c r="G165" s="143" t="str">
        <x:v>https://euro-fusion.org/news/</x:v>
      </x:c>
      <x:c r="H165" s="143" t="str">
        <x:v>https://euro-fusion.org/</x:v>
      </x:c>
      <x:c r="I165" s="142" t="n">
        <x:v>5</x:v>
      </x:c>
      <x:c r="J165" s="142" t="str">
        <x:v>No</x:v>
      </x:c>
      <x:c r="K165" s="143" t="str">
        <x:v>Official EUROfusion articles only; member-news and event paths are excluded by the include pattern.</x:v>
      </x:c>
      <x:c r="L165" s="142" t="str">
        <x:v>S</x:v>
      </x:c>
      <x:c r="M165" s="142" t="str">
        <x:v>Daily</x:v>
      </x:c>
      <x:c r="N165" s="143" t="str">
        <x:v>Fusion Energy | Robotics | Semiconductors &amp; Telecom</x:v>
      </x:c>
    </x:row>
    <x:row r="166">
      <x:c r="A166" s="142" t="str">
        <x:v>Yes</x:v>
      </x:c>
      <x:c r="B166" s="143" t="str">
        <x:v>EU &amp; Europe</x:v>
      </x:c>
      <x:c r="C166" s="143" t="str">
        <x:v>European Union</x:v>
      </x:c>
      <x:c r="D166" s="143" t="str">
        <x:v>Space R&amp;D, launch, satellites, robotics, communications and exploration</x:v>
      </x:c>
      <x:c r="E166" s="143" t="str">
        <x:v>ESA</x:v>
      </x:c>
      <x:c r="F166" s="143" t="str">
        <x:v>European Space Agency</x:v>
      </x:c>
      <x:c r="G166" s="143" t="str">
        <x:v>https://www.esa.int/rssfeed/Our_Activities/Space_News</x:v>
      </x:c>
      <x:c r="H166" s="143" t="str">
        <x:v>https://www.esa.int/Services/RSS_Feeds</x:v>
      </x:c>
      <x:c r="I166" s="142" t="n">
        <x:v>5</x:v>
      </x:c>
      <x:c r="J166" s="142" t="str">
        <x:v>Yes</x:v>
      </x:c>
      <x:c r="K166" s="143" t="str">
        <x:v>Official ESA Space News RSS.</x:v>
      </x:c>
      <x:c r="L166" s="142" t="str">
        <x:v>S</x:v>
      </x:c>
      <x:c r="M166" s="142" t="str">
        <x:v>Daily</x:v>
      </x:c>
      <x:c r="N166" s="143" t="str">
        <x:v>Space | Robotics | Artificial Intelligence | Semiconductors &amp; Telecom | Healthcare | Biotechnology</x:v>
      </x:c>
    </x:row>
    <x:row r="167">
      <x:c r="A167" s="142" t="str">
        <x:v>Yes</x:v>
      </x:c>
      <x:c r="B167" s="143" t="str">
        <x:v>EU &amp; Europe</x:v>
      </x:c>
      <x:c r="C167" s="143" t="str">
        <x:v>European Union</x:v>
      </x:c>
      <x:c r="D167" s="143" t="str">
        <x:v>Frontier research funding, work programs, grants and research results</x:v>
      </x:c>
      <x:c r="E167" s="143" t="str">
        <x:v>European Research Council</x:v>
      </x:c>
      <x:c r="F167" s="143" t="str">
        <x:v>European Research Council</x:v>
      </x:c>
      <x:c r="G167" s="143" t="str">
        <x:v>https://erc.europa.eu/news-events/news</x:v>
      </x:c>
      <x:c r="H167" s="143" t="str">
        <x:v>https://erc.europa.eu/</x:v>
      </x:c>
      <x:c r="I167" s="142" t="n">
        <x:v>4</x:v>
      </x:c>
      <x:c r="J167" s="142" t="str">
        <x:v>No</x:v>
      </x:c>
      <x:c r="K167" s="143" t="str">
        <x:v>Official ERC news; strict filtering keeps grants, programs and results in monitored fields.</x:v>
      </x:c>
      <x:c r="L167" s="142" t="str">
        <x:v>A</x:v>
      </x:c>
      <x:c r="M167" s="142" t="str">
        <x:v>Daily</x:v>
      </x:c>
      <x:c r="N167" s="143" t="str">
        <x:v>Artificial Intelligence | Robotics | Semiconductors &amp; Telecom | Quantum | Fusion Energy | Biotechnology | Healthcare | Space</x:v>
      </x:c>
    </x:row>
    <x:row r="168">
      <x:c r="A168" s="142" t="str">
        <x:v>Yes</x:v>
      </x:c>
      <x:c r="B168" s="143" t="str">
        <x:v>EU &amp; Europe</x:v>
      </x:c>
      <x:c r="C168" s="143" t="str">
        <x:v>European Union</x:v>
      </x:c>
      <x:c r="D168" s="143" t="str">
        <x:v>Science for policy, technology assessment, standards, regulation and research</x:v>
      </x:c>
      <x:c r="E168" s="143" t="str">
        <x:v>EU Joint Research Centre</x:v>
      </x:c>
      <x:c r="F168" s="143" t="str">
        <x:v>European Commission Joint Research Centre</x:v>
      </x:c>
      <x:c r="G168" s="143" t="str">
        <x:v>https://joint-research-centre.ec.europa.eu/node/2/rss_en</x:v>
      </x:c>
      <x:c r="H168" s="143" t="str">
        <x:v>https://joint-research-centre.ec.europa.eu/jrc-news-and-updates_en</x:v>
      </x:c>
      <x:c r="I168" s="142" t="n">
        <x:v>4</x:v>
      </x:c>
      <x:c r="J168" s="142" t="str">
        <x:v>Yes</x:v>
      </x:c>
      <x:c r="K168" s="143" t="str">
        <x:v>Official JRC RSS with strict technology and innovation-policy filtering.</x:v>
      </x:c>
      <x:c r="L168" s="142" t="str">
        <x:v>A</x:v>
      </x:c>
      <x:c r="M168" s="142" t="str">
        <x:v>Daily</x:v>
      </x:c>
      <x:c r="N168" s="143" t="str">
        <x:v>Artificial Intelligence | Robotics | Semiconductors &amp; Telecom | Quantum | Fusion Energy | Biotechnology | Healthcare | Space</x:v>
      </x:c>
    </x:row>
    <x:row r="169">
      <x:c r="A169" s="142" t="str">
        <x:v>Yes</x:v>
      </x:c>
      <x:c r="B169" s="143" t="str">
        <x:v>United States</x:v>
      </x:c>
      <x:c r="C169" s="143" t="str">
        <x:v>United States</x:v>
      </x:c>
      <x:c r="D169" s="143" t="str">
        <x:v>Advanced R&amp;D programs, AI, robotics, semiconductors, quantum, biotechnology and space</x:v>
      </x:c>
      <x:c r="E169" s="143" t="str">
        <x:v>DARPA</x:v>
      </x:c>
      <x:c r="F169" s="143" t="str">
        <x:v>Defense Advanced Research Projects Agency</x:v>
      </x:c>
      <x:c r="G169" s="143" t="str">
        <x:v>https://www.darpa.mil/rss.xml</x:v>
      </x:c>
      <x:c r="H169" s="143" t="str">
        <x:v>https://www.darpa.mil/news</x:v>
      </x:c>
      <x:c r="I169" s="142" t="n">
        <x:v>5</x:v>
      </x:c>
      <x:c r="J169" s="142" t="str">
        <x:v>Yes</x:v>
      </x:c>
      <x:c r="K169" s="143" t="str">
        <x:v>Official DARPA news feed; strict filter keeps the eight monitored technology areas and material R&amp;D policy.</x:v>
      </x:c>
      <x:c r="L169" s="142" t="str">
        <x:v>S</x:v>
      </x:c>
      <x:c r="M169" s="142" t="str">
        <x:v>Daily</x:v>
      </x:c>
      <x:c r="N169" s="143" t="str">
        <x:v>Artificial Intelligence | Robotics | Semiconductors &amp; Telecom | Quantum | Biotechnology | Healthcare | Space</x:v>
      </x:c>
    </x:row>
    <x:row r="170">
      <x:c r="A170" s="142" t="str">
        <x:v>Yes</x:v>
      </x:c>
      <x:c r="B170" s="143" t="str">
        <x:v>United States</x:v>
      </x:c>
      <x:c r="C170" s="143" t="str">
        <x:v>United States</x:v>
      </x:c>
      <x:c r="D170" s="143" t="str">
        <x:v>High-risk energy R&amp;D, fusion, semiconductors, biotechnology and national programs</x:v>
      </x:c>
      <x:c r="E170" s="143" t="str">
        <x:v>ARPA-E</x:v>
      </x:c>
      <x:c r="F170" s="143" t="str">
        <x:v>Advanced Research Projects Agency-Energy</x:v>
      </x:c>
      <x:c r="G170" s="143" t="str">
        <x:v>https://arpa-e.energy.gov/news-and-events/news-and-insights</x:v>
      </x:c>
      <x:c r="H170" s="143" t="str">
        <x:v>https://arpa-e.energy.gov/</x:v>
      </x:c>
      <x:c r="I170" s="142" t="n">
        <x:v>5</x:v>
      </x:c>
      <x:c r="J170" s="142" t="str">
        <x:v>No</x:v>
      </x:c>
      <x:c r="K170" s="143" t="str">
        <x:v>Official ARPA-E news and insights.</x:v>
      </x:c>
      <x:c r="L170" s="142" t="str">
        <x:v>S</x:v>
      </x:c>
      <x:c r="M170" s="142" t="str">
        <x:v>Daily</x:v>
      </x:c>
      <x:c r="N170" s="143" t="str">
        <x:v>Fusion Energy | Semiconductors &amp; Telecom | Biotechnology | Artificial Intelligence</x:v>
      </x:c>
    </x:row>
    <x:row r="171">
      <x:c r="A171" s="142" t="str">
        <x:v>Yes</x:v>
      </x:c>
      <x:c r="B171" s="143" t="str">
        <x:v>United States</x:v>
      </x:c>
      <x:c r="C171" s="143" t="str">
        <x:v>United States</x:v>
      </x:c>
      <x:c r="D171" s="143" t="str">
        <x:v>Advanced AI, quantum, biotechnology, sensing and R&amp;D programs</x:v>
      </x:c>
      <x:c r="E171" s="143" t="str">
        <x:v>IARPA</x:v>
      </x:c>
      <x:c r="F171" s="143" t="str">
        <x:v>Intelligence Advanced Research Projects Activity</x:v>
      </x:c>
      <x:c r="G171" s="143" t="str">
        <x:v>https://www.iarpa.gov/newsroom</x:v>
      </x:c>
      <x:c r="H171" s="143" t="str">
        <x:v>https://www.iarpa.gov/</x:v>
      </x:c>
      <x:c r="I171" s="142" t="n">
        <x:v>5</x:v>
      </x:c>
      <x:c r="J171" s="142" t="str">
        <x:v>No</x:v>
      </x:c>
      <x:c r="K171" s="143" t="str">
        <x:v>Official IARPA newsroom; strict filter removes event-only posts.</x:v>
      </x:c>
      <x:c r="L171" s="142" t="str">
        <x:v>S</x:v>
      </x:c>
      <x:c r="M171" s="142" t="str">
        <x:v>Daily</x:v>
      </x:c>
      <x:c r="N171" s="143" t="str">
        <x:v>Artificial Intelligence | Quantum | Biotechnology | Semiconductors &amp; Telecom</x:v>
      </x:c>
    </x:row>
    <x:row r="172">
      <x:c r="A172" s="142" t="str">
        <x:v>Yes</x:v>
      </x:c>
      <x:c r="B172" s="143" t="str">
        <x:v>United States</x:v>
      </x:c>
      <x:c r="C172" s="143" t="str">
        <x:v>United States</x:v>
      </x:c>
      <x:c r="D172" s="143" t="str">
        <x:v>High-risk health R&amp;D, biotechnology, medical technology and AI</x:v>
      </x:c>
      <x:c r="E172" s="143" t="str">
        <x:v>ARPA-H</x:v>
      </x:c>
      <x:c r="F172" s="143" t="str">
        <x:v>Advanced Research Projects Agency for Health</x:v>
      </x:c>
      <x:c r="G172" s="143" t="str">
        <x:v>https://arpa-h.gov/news-and-events/news-archive</x:v>
      </x:c>
      <x:c r="H172" s="143" t="str">
        <x:v>https://arpa-h.gov/</x:v>
      </x:c>
      <x:c r="I172" s="142" t="n">
        <x:v>5</x:v>
      </x:c>
      <x:c r="J172" s="142" t="str">
        <x:v>No</x:v>
      </x:c>
      <x:c r="K172" s="143" t="str">
        <x:v>Official ARPA-H archive; events are excluded.</x:v>
      </x:c>
      <x:c r="L172" s="142" t="str">
        <x:v>S</x:v>
      </x:c>
      <x:c r="M172" s="142" t="str">
        <x:v>Daily</x:v>
      </x:c>
      <x:c r="N172" s="143" t="str">
        <x:v>Healthcare | Biotechnology | Artificial Intelligence | Robotics</x:v>
      </x:c>
    </x:row>
    <x:row r="173">
      <x:c r="A173" s="142" t="str">
        <x:v>Yes</x:v>
      </x:c>
      <x:c r="B173" s="143" t="str">
        <x:v>United States</x:v>
      </x:c>
      <x:c r="C173" s="143" t="str">
        <x:v>United States</x:v>
      </x:c>
      <x:c r="D173" s="143" t="str">
        <x:v>Commercial technology adoption, procurement, AI, robotics, semiconductors and space</x:v>
      </x:c>
      <x:c r="E173" s="143" t="str">
        <x:v>Defense Innovation Unit</x:v>
      </x:c>
      <x:c r="F173" s="143" t="str">
        <x:v>Defense Innovation Unit</x:v>
      </x:c>
      <x:c r="G173" s="143" t="str">
        <x:v>https://www.diu.mil/latest</x:v>
      </x:c>
      <x:c r="H173" s="143" t="str">
        <x:v>https://www.diu.mil/</x:v>
      </x:c>
      <x:c r="I173" s="142" t="n">
        <x:v>5</x:v>
      </x:c>
      <x:c r="J173" s="142" t="str">
        <x:v>No</x:v>
      </x:c>
      <x:c r="K173" s="143" t="str">
        <x:v>Official DIU updates focused on procurement, pilots and commercial technology transition.</x:v>
      </x:c>
      <x:c r="L173" s="142" t="str">
        <x:v>S</x:v>
      </x:c>
      <x:c r="M173" s="142" t="str">
        <x:v>Daily</x:v>
      </x:c>
      <x:c r="N173" s="143" t="str">
        <x:v>Artificial Intelligence | Robotics | Semiconductors &amp; Telecom | Quantum | Biotechnology | Space</x:v>
      </x:c>
    </x:row>
    <x:row r="174">
      <x:c r="A174" s="142" t="str">
        <x:v>Yes</x:v>
      </x:c>
      <x:c r="B174" s="143" t="str">
        <x:v>United States</x:v>
      </x:c>
      <x:c r="C174" s="143" t="str">
        <x:v>United States</x:v>
      </x:c>
      <x:c r="D174" s="143" t="str">
        <x:v>Space science, launch, satellites, robotics, communications and aerospace R&amp;D</x:v>
      </x:c>
      <x:c r="E174" s="143" t="str">
        <x:v>NASA</x:v>
      </x:c>
      <x:c r="F174" s="143" t="str">
        <x:v>National Aeronautics and Space Administration</x:v>
      </x:c>
      <x:c r="G174" s="143" t="str">
        <x:v>https://www.nasa.gov/news/recently-published/</x:v>
      </x:c>
      <x:c r="H174" s="143" t="str">
        <x:v>https://www.nasa.gov/</x:v>
      </x:c>
      <x:c r="I174" s="142" t="n">
        <x:v>5</x:v>
      </x:c>
      <x:c r="J174" s="142" t="str">
        <x:v>No</x:v>
      </x:c>
      <x:c r="K174" s="143" t="str">
        <x:v>Official NASA recently published listing; strict filter removes general outreach and human-interest stories.</x:v>
      </x:c>
      <x:c r="L174" s="142" t="str">
        <x:v>S</x:v>
      </x:c>
      <x:c r="M174" s="142" t="str">
        <x:v>Daily</x:v>
      </x:c>
      <x:c r="N174" s="143" t="str">
        <x:v>Space | Robotics | Artificial Intelligence | Semiconductors &amp; Telecom | Biotechnology | Healthcare</x:v>
      </x:c>
    </x:row>
    <x:row r="175">
      <x:c r="A175" s="142" t="str">
        <x:v>Yes</x:v>
      </x:c>
      <x:c r="B175" s="143" t="str">
        <x:v>United States</x:v>
      </x:c>
      <x:c r="C175" s="143" t="str">
        <x:v>United States</x:v>
      </x:c>
      <x:c r="D175" s="143" t="str">
        <x:v>Semiconductor R&amp;D, manufacturing incentives, advanced packaging, workforce and industrial policy</x:v>
      </x:c>
      <x:c r="E175" s="143" t="str">
        <x:v>CHIPS for America</x:v>
      </x:c>
      <x:c r="F175" s="143" t="str">
        <x:v>National Institute of Standards and Technology</x:v>
      </x:c>
      <x:c r="G175" s="143" t="str">
        <x:v>https://www.nist.gov/chips/chips-news-releases</x:v>
      </x:c>
      <x:c r="H175" s="143" t="str">
        <x:v>https://www.nist.gov/chips</x:v>
      </x:c>
      <x:c r="I175" s="142" t="n">
        <x:v>5</x:v>
      </x:c>
      <x:c r="J175" s="142" t="str">
        <x:v>No</x:v>
      </x:c>
      <x:c r="K175" s="143" t="str">
        <x:v>Official CHIPS for America news. Natcast/NSTC is covered here instead of duplicated as a separate source.</x:v>
      </x:c>
      <x:c r="L175" s="142" t="str">
        <x:v>S</x:v>
      </x:c>
      <x:c r="M175" s="142" t="str">
        <x:v>Daily</x:v>
      </x:c>
      <x:c r="N175" s="143" t="str">
        <x:v>Semiconductors &amp; Telecom | Artificial Intelligence | Quantum</x:v>
      </x:c>
    </x:row>
    <x:row r="176">
      <x:c r="A176" s="142" t="str">
        <x:v>Yes</x:v>
      </x:c>
      <x:c r="B176" s="143" t="str">
        <x:v>United States</x:v>
      </x:c>
      <x:c r="C176" s="143" t="str">
        <x:v>United States</x:v>
      </x:c>
      <x:c r="D176" s="143" t="str">
        <x:v>Patents, intellectual property, AI examination, technology transfer and startup policy</x:v>
      </x:c>
      <x:c r="E176" s="143" t="str">
        <x:v>USPTO</x:v>
      </x:c>
      <x:c r="F176" s="143" t="str">
        <x:v>United States Patent and Trademark Office</x:v>
      </x:c>
      <x:c r="G176" s="143" t="str">
        <x:v>https://www.uspto.gov/about-us/news-updates</x:v>
      </x:c>
      <x:c r="H176" s="143" t="str">
        <x:v>https://www.uspto.gov/</x:v>
      </x:c>
      <x:c r="I176" s="142" t="n">
        <x:v>5</x:v>
      </x:c>
      <x:c r="J176" s="142" t="str">
        <x:v>No</x:v>
      </x:c>
      <x:c r="K176" s="143" t="str">
        <x:v>Official USPTO updates with strict innovation-policy filtering.</x:v>
      </x:c>
      <x:c r="L176" s="142" t="str">
        <x:v>S</x:v>
      </x:c>
      <x:c r="M176" s="142" t="str">
        <x:v>Daily</x:v>
      </x:c>
      <x:c r="N176" s="143" t="str">
        <x:v>Artificial Intelligence</x:v>
      </x:c>
    </x:row>
    <x:row r="177">
      <x:c r="A177" s="142" t="str">
        <x:v>Yes</x:v>
      </x:c>
      <x:c r="B177" s="143" t="str">
        <x:v>United States</x:v>
      </x:c>
      <x:c r="C177" s="143" t="str">
        <x:v>United States</x:v>
      </x:c>
      <x:c r="D177" s="143" t="str">
        <x:v>Technology assessment, science policy, emerging technology oversight and public investment</x:v>
      </x:c>
      <x:c r="E177" s="143" t="str">
        <x:v>GAO Science &amp; Technology</x:v>
      </x:c>
      <x:c r="F177" s="143" t="str">
        <x:v>U.S. Government Accountability Office</x:v>
      </x:c>
      <x:c r="G177" s="143" t="str">
        <x:v>https://www.gao.gov/topics/science-and-technology</x:v>
      </x:c>
      <x:c r="H177" s="143" t="str">
        <x:v>https://www.gao.gov/topics/science-and-technology</x:v>
      </x:c>
      <x:c r="I177" s="142" t="n">
        <x:v>5</x:v>
      </x:c>
      <x:c r="J177" s="142" t="str">
        <x:v>No</x:v>
      </x:c>
      <x:c r="K177" s="143" t="str">
        <x:v>Official GAO science and technology assessments and reports.</x:v>
      </x:c>
      <x:c r="L177" s="142" t="str">
        <x:v>S</x:v>
      </x:c>
      <x:c r="M177" s="142" t="str">
        <x:v>Daily</x:v>
      </x:c>
      <x:c r="N177" s="143" t="str">
        <x:v>Artificial Intelligence | Robotics | Semiconductors &amp; Telecom | Quantum | Fusion Energy | Biotechnology | Healthcare | Space</x:v>
      </x:c>
    </x:row>
    <x:row r="178">
      <x:c r="A178" s="142" t="str">
        <x:v>Yes</x:v>
      </x:c>
      <x:c r="B178" s="143" t="str">
        <x:v>United States</x:v>
      </x:c>
      <x:c r="C178" s="143" t="str">
        <x:v>United States</x:v>
      </x:c>
      <x:c r="D178" s="143" t="str">
        <x:v>Small-business R&amp;D funding, commercialization, calls and awards</x:v>
      </x:c>
      <x:c r="E178" s="143" t="str">
        <x:v>SBIR.gov</x:v>
      </x:c>
      <x:c r="F178" s="143" t="str">
        <x:v>U.S. Small Business Administration</x:v>
      </x:c>
      <x:c r="G178" s="143" t="str">
        <x:v>https://www.sbir.gov/news-listing</x:v>
      </x:c>
      <x:c r="H178" s="143" t="str">
        <x:v>https://www.sbir.gov/</x:v>
      </x:c>
      <x:c r="I178" s="142" t="n">
        <x:v>5</x:v>
      </x:c>
      <x:c r="J178" s="142" t="str">
        <x:v>No</x:v>
      </x:c>
      <x:c r="K178" s="143" t="str">
        <x:v>Official SBIR.gov news; strict filter removes third-party event-only listings.</x:v>
      </x:c>
      <x:c r="L178" s="142" t="str">
        <x:v>S</x:v>
      </x:c>
      <x:c r="M178" s="142" t="str">
        <x:v>Daily</x:v>
      </x:c>
      <x:c r="N178" s="143" t="str">
        <x:v>Artificial Intelligence | Robotics | Semiconductors &amp; Telecom | Quantum | Biotechnology | Healthcare | Space</x:v>
      </x:c>
    </x:row>
    <x:row r="179">
      <x:c r="A179" s="142" t="str">
        <x:v>Yes</x:v>
      </x:c>
      <x:c r="B179" s="143" t="str">
        <x:v>United States</x:v>
      </x:c>
      <x:c r="C179" s="143" t="str">
        <x:v>United States</x:v>
      </x:c>
      <x:c r="D179" s="143" t="str">
        <x:v>Congressional technology, science, industrial, research-security and innovation policy analysis</x:v>
      </x:c>
      <x:c r="E179" s="143" t="str">
        <x:v>Congressional Research Service</x:v>
      </x:c>
      <x:c r="F179" s="143" t="str">
        <x:v>Library of Congress</x:v>
      </x:c>
      <x:c r="G179" s="143" t="str">
        <x:v>https://www.congress.gov/crs-products</x:v>
      </x:c>
      <x:c r="H179" s="143" t="str">
        <x:v>https://www.congress.gov/crs-products</x:v>
      </x:c>
      <x:c r="I179" s="142" t="n">
        <x:v>4</x:v>
      </x:c>
      <x:c r="J179" s="142" t="str">
        <x:v>No</x:v>
      </x:c>
      <x:c r="K179" s="143" t="str">
        <x:v>Official Congress.gov CRS products with title-level technology filtering.</x:v>
      </x:c>
      <x:c r="L179" s="142" t="str">
        <x:v>A</x:v>
      </x:c>
      <x:c r="M179" s="142" t="str">
        <x:v>Daily</x:v>
      </x:c>
      <x:c r="N179" s="143" t="str">
        <x:v>Artificial Intelligence | Robotics | Semiconductors &amp; Telecom | Quantum | Fusion Energy | Biotechnology | Healthcare | Space</x:v>
      </x:c>
    </x:row>
    <x:row r="180">
      <x:c r="A180" s="142" t="str">
        <x:v>Yes</x:v>
      </x:c>
      <x:c r="B180" s="143" t="str">
        <x:v>United States</x:v>
      </x:c>
      <x:c r="C180" s="143" t="str">
        <x:v>United States</x:v>
      </x:c>
      <x:c r="D180" s="143" t="str">
        <x:v>Science, technology and economic policy publications</x:v>
      </x:c>
      <x:c r="E180" s="143" t="str">
        <x:v>National Academies STEP</x:v>
      </x:c>
      <x:c r="F180" s="143" t="str">
        <x:v>National Academies of Sciences, Engineering, and Medicine</x:v>
      </x:c>
      <x:c r="G180" s="143" t="str">
        <x:v>https://nap.nationalacademies.org/authors.php?author=STEP&amp;n=10</x:v>
      </x:c>
      <x:c r="H180" s="143" t="str">
        <x:v>https://www.nationalacademies.org/step</x:v>
      </x:c>
      <x:c r="I180" s="142" t="n">
        <x:v>4</x:v>
      </x:c>
      <x:c r="J180" s="142" t="str">
        <x:v>No</x:v>
      </x:c>
      <x:c r="K180" s="143" t="str">
        <x:v>Official National Academies STEP publication listing.</x:v>
      </x:c>
      <x:c r="L180" s="142" t="str">
        <x:v>A</x:v>
      </x:c>
      <x:c r="M180" s="142" t="str">
        <x:v>Daily</x:v>
      </x:c>
      <x:c r="N180" s="143" t="str">
        <x:v>Artificial Intelligence | Semiconductors &amp; Telecom | Quantum | Biotechnology | Healthcare | Space</x:v>
      </x:c>
    </x:row>
    <x:row r="181">
      <x:c r="A181" s="142" t="str">
        <x:v>Yes</x:v>
      </x:c>
      <x:c r="B181" s="143" t="str">
        <x:v>United States</x:v>
      </x:c>
      <x:c r="C181" s="143" t="str">
        <x:v>United States</x:v>
      </x:c>
      <x:c r="D181" s="143" t="str">
        <x:v>Science and technology regulation, funding, standards and federal policy</x:v>
      </x:c>
      <x:c r="E181" s="143" t="str">
        <x:v>Federal Register Science &amp; Technology</x:v>
      </x:c>
      <x:c r="F181" s="143" t="str">
        <x:v>Office of the Federal Register</x:v>
      </x:c>
      <x:c r="G181" s="143" t="str">
        <x:v>https://www.federalregister.gov/documents/search.rss?conditions%5Bsections%5D%5B%5D=science-and-technology</x:v>
      </x:c>
      <x:c r="H181" s="143" t="str">
        <x:v>https://www.federalregister.gov/documents/search?conditions%5Bsections%5D%5B%5D=science-and-technology</x:v>
      </x:c>
      <x:c r="I181" s="142" t="n">
        <x:v>4</x:v>
      </x:c>
      <x:c r="J181" s="142" t="str">
        <x:v>Yes</x:v>
      </x:c>
      <x:c r="K181" s="143" t="str">
        <x:v>Official Federal Register science-and-technology RSS with strict topic and policy filtering.</x:v>
      </x:c>
      <x:c r="L181" s="142" t="str">
        <x:v>A</x:v>
      </x:c>
      <x:c r="M181" s="142" t="str">
        <x:v>Daily</x:v>
      </x:c>
      <x:c r="N181" s="143" t="str">
        <x:v>Artificial Intelligence | Robotics | Semiconductors &amp; Telecom | Quantum | Fusion Energy | Biotechnology | Healthcare | Space</x:v>
      </x:c>
    </x:row>
    <x:row r="182">
      <x:c r="A182" s="142" t="str">
        <x:v>Yes</x:v>
      </x:c>
      <x:c r="B182" s="143" t="str">
        <x:v>Asia</x:v>
      </x:c>
      <x:c r="C182" s="143" t="str">
        <x:v>Japan</x:v>
      </x:c>
      <x:c r="D182" s="143" t="str">
        <x:v>Quantum computing software, algorithms and AI</x:v>
      </x:c>
      <x:c r="E182" s="143" t="str">
        <x:v>QunaSys</x:v>
      </x:c>
      <x:c r="F182" s="143" t="str">
        <x:v>QunaSys</x:v>
      </x:c>
      <x:c r="G182" s="143" t="str">
        <x:v>https://qunasys.com/en/news</x:v>
      </x:c>
      <x:c r="H182" s="143" t="str">
        <x:v>https://qunasys.com/</x:v>
      </x:c>
      <x:c r="I182" s="142" t="n">
        <x:v>5</x:v>
      </x:c>
      <x:c r="J182" s="142" t="str">
        <x:v>No</x:v>
      </x:c>
      <x:c r="K182" s="143" t="str">
        <x:v>Official QunaSys updates.</x:v>
      </x:c>
      <x:c r="L182" s="142" t="str">
        <x:v>S</x:v>
      </x:c>
      <x:c r="M182" s="142" t="str">
        <x:v>Daily</x:v>
      </x:c>
      <x:c r="N182" s="143" t="str">
        <x:v>Quantum | Artificial Intelligence</x:v>
      </x:c>
    </x:row>
    <x:row r="183">
      <x:c r="A183" s="142" t="str">
        <x:v>Yes</x:v>
      </x:c>
      <x:c r="B183" s="143" t="str">
        <x:v>Asia</x:v>
      </x:c>
      <x:c r="C183" s="143" t="str">
        <x:v>Japan</x:v>
      </x:c>
      <x:c r="D183" s="143" t="str">
        <x:v>Fusion energy and helical reactor engineering</x:v>
      </x:c>
      <x:c r="E183" s="143" t="str">
        <x:v>Helical Fusion</x:v>
      </x:c>
      <x:c r="F183" s="143" t="str">
        <x:v>Helical Fusion</x:v>
      </x:c>
      <x:c r="G183" s="143" t="str">
        <x:v>https://www.helicalfusion.com/blog</x:v>
      </x:c>
      <x:c r="H183" s="143" t="str">
        <x:v>https://www.helicalfusion.com/</x:v>
      </x:c>
      <x:c r="I183" s="142" t="n">
        <x:v>5</x:v>
      </x:c>
      <x:c r="J183" s="142" t="str">
        <x:v>No</x:v>
      </x:c>
      <x:c r="K183" s="143" t="str">
        <x:v>Official Helical Fusion blog; strict filter removes recruitment and appearance-only posts.</x:v>
      </x:c>
      <x:c r="L183" s="142" t="str">
        <x:v>S</x:v>
      </x:c>
      <x:c r="M183" s="142" t="str">
        <x:v>Daily</x:v>
      </x:c>
      <x:c r="N183" s="143" t="str">
        <x:v>Fusion Energy</x:v>
      </x:c>
    </x:row>
    <x:row r="184">
      <x:c r="A184" s="142" t="str">
        <x:v>Yes</x:v>
      </x:c>
      <x:c r="B184" s="143" t="str">
        <x:v>Asia</x:v>
      </x:c>
      <x:c r="C184" s="143" t="str">
        <x:v>Japan</x:v>
      </x:c>
      <x:c r="D184" s="143" t="str">
        <x:v>Fusion energy engineering and commercialization</x:v>
      </x:c>
      <x:c r="E184" s="143" t="str">
        <x:v>LINEA Innovations</x:v>
      </x:c>
      <x:c r="F184" s="143" t="str">
        <x:v>LINEA Innovations</x:v>
      </x:c>
      <x:c r="G184" s="143" t="str">
        <x:v>https://linea-innovations.com/en/news/</x:v>
      </x:c>
      <x:c r="H184" s="143" t="str">
        <x:v>https://linea-innovations.com/en/</x:v>
      </x:c>
      <x:c r="I184" s="142" t="n">
        <x:v>5</x:v>
      </x:c>
      <x:c r="J184" s="142" t="str">
        <x:v>No</x:v>
      </x:c>
      <x:c r="K184" s="143" t="str">
        <x:v>Official LINEA Innovations news.</x:v>
      </x:c>
      <x:c r="L184" s="142" t="str">
        <x:v>S</x:v>
      </x:c>
      <x:c r="M184" s="142" t="str">
        <x:v>Daily</x:v>
      </x:c>
      <x:c r="N184" s="143" t="str">
        <x:v>Fusion Energy</x:v>
      </x:c>
    </x:row>
    <x:row r="185">
      <x:c r="A185" s="142" t="str">
        <x:v>Yes</x:v>
      </x:c>
      <x:c r="B185" s="143" t="str">
        <x:v>Asia</x:v>
      </x:c>
      <x:c r="C185" s="143" t="str">
        <x:v>Japan</x:v>
      </x:c>
      <x:c r="D185" s="143" t="str">
        <x:v>Laser fusion, semiconductor laser control and fusion engineering</x:v>
      </x:c>
      <x:c r="E185" s="143" t="str">
        <x:v>EX-Fusion</x:v>
      </x:c>
      <x:c r="F185" s="143" t="str">
        <x:v>EX-Fusion</x:v>
      </x:c>
      <x:c r="G185" s="143" t="str">
        <x:v>https://ex-fusion.com/news</x:v>
      </x:c>
      <x:c r="H185" s="143" t="str">
        <x:v>https://ex-fusion.com/</x:v>
      </x:c>
      <x:c r="I185" s="142" t="n">
        <x:v>5</x:v>
      </x:c>
      <x:c r="J185" s="142" t="str">
        <x:v>No</x:v>
      </x:c>
      <x:c r="K185" s="143" t="str">
        <x:v>Uses the actively updated official Japanese news page; the English archive is stale.</x:v>
      </x:c>
      <x:c r="L185" s="142" t="str">
        <x:v>S</x:v>
      </x:c>
      <x:c r="M185" s="142" t="str">
        <x:v>Daily</x:v>
      </x:c>
      <x:c r="N185" s="143" t="str">
        <x:v>Fusion Energy | Semiconductors &amp; Telecom</x:v>
      </x:c>
    </x:row>
    <x:row r="186">
      <x:c r="A186" s="142" t="str">
        <x:v>Yes</x:v>
      </x:c>
      <x:c r="B186" s="143" t="str">
        <x:v>Global</x:v>
      </x:c>
      <x:c r="C186" s="143" t="str">
        <x:v>Japan</x:v>
      </x:c>
      <x:c r="D186" s="143" t="str">
        <x:v>Biotechnology, drug discovery, clinical development, healthcare and AI</x:v>
      </x:c>
      <x:c r="E186" s="143" t="str">
        <x:v>Takeda</x:v>
      </x:c>
      <x:c r="F186" s="143" t="str">
        <x:v>Takeda Pharmaceutical</x:v>
      </x:c>
      <x:c r="G186" s="143" t="str">
        <x:v>https://www.takeda.com/newsroom/press-releases/</x:v>
      </x:c>
      <x:c r="H186" s="143" t="str">
        <x:v>https://www.takeda.com/</x:v>
      </x:c>
      <x:c r="I186" s="142" t="n">
        <x:v>5</x:v>
      </x:c>
      <x:c r="J186" s="142" t="str">
        <x:v>No</x:v>
      </x:c>
      <x:c r="K186" s="143" t="str">
        <x:v>Official Takeda press releases; strict filter keeps R&amp;D, trials, approvals, partnerships and technology platforms.</x:v>
      </x:c>
      <x:c r="L186" s="142" t="str">
        <x:v>S</x:v>
      </x:c>
      <x:c r="M186" s="142" t="str">
        <x:v>Daily</x:v>
      </x:c>
      <x:c r="N186" s="143" t="str">
        <x:v>Biotechnology | Healthcare | Artificial Intelligence</x:v>
      </x:c>
    </x:row>
    <x:row r="187">
      <x:c r="A187" s="142" t="str">
        <x:v>Yes</x:v>
      </x:c>
      <x:c r="B187" s="143" t="str">
        <x:v>Global</x:v>
      </x:c>
      <x:c r="C187" s="143" t="str">
        <x:v>Japan</x:v>
      </x:c>
      <x:c r="D187" s="143" t="str">
        <x:v>Biotechnology, drug discovery, clinical development, healthcare and AI</x:v>
      </x:c>
      <x:c r="E187" s="143" t="str">
        <x:v>Chugai</x:v>
      </x:c>
      <x:c r="F187" s="143" t="str">
        <x:v>Chugai Pharmaceutical</x:v>
      </x:c>
      <x:c r="G187" s="143" t="str">
        <x:v>https://www.chugai-pharm.co.jp/rss/news_releases_en.php</x:v>
      </x:c>
      <x:c r="H187" s="143" t="str">
        <x:v>https://www.chugai-pharm.co.jp/english/news/</x:v>
      </x:c>
      <x:c r="I187" s="142" t="n">
        <x:v>5</x:v>
      </x:c>
      <x:c r="J187" s="142" t="str">
        <x:v>Yes</x:v>
      </x:c>
      <x:c r="K187" s="143" t="str">
        <x:v>Official Chugai release feed.</x:v>
      </x:c>
      <x:c r="L187" s="142" t="str">
        <x:v>S</x:v>
      </x:c>
      <x:c r="M187" s="142" t="str">
        <x:v>Daily</x:v>
      </x:c>
      <x:c r="N187" s="143" t="str">
        <x:v>Biotechnology | Healthcare | Artificial Intelligence</x:v>
      </x:c>
    </x:row>
    <x:row r="188">
      <x:c r="A188" s="142" t="str">
        <x:v>Yes</x:v>
      </x:c>
      <x:c r="B188" s="143" t="str">
        <x:v>Global</x:v>
      </x:c>
      <x:c r="C188" s="143" t="str">
        <x:v>Japan</x:v>
      </x:c>
      <x:c r="D188" s="143" t="str">
        <x:v>Biotechnology, oncology, drug discovery, clinical development and AI</x:v>
      </x:c>
      <x:c r="E188" s="143" t="str">
        <x:v>Daiichi Sankyo</x:v>
      </x:c>
      <x:c r="F188" s="143" t="str">
        <x:v>Daiichi Sankyo</x:v>
      </x:c>
      <x:c r="G188" s="143" t="str">
        <x:v>https://www.daiichisankyo.com/media/press_release/</x:v>
      </x:c>
      <x:c r="H188" s="143" t="str">
        <x:v>https://www.daiichisankyo.com/</x:v>
      </x:c>
      <x:c r="I188" s="142" t="n">
        <x:v>5</x:v>
      </x:c>
      <x:c r="J188" s="142" t="str">
        <x:v>No</x:v>
      </x:c>
      <x:c r="K188" s="143" t="str">
        <x:v>Official Daiichi Sankyo press releases; official sitemap fallback handles the dynamic listing.</x:v>
      </x:c>
      <x:c r="L188" s="142" t="str">
        <x:v>S</x:v>
      </x:c>
      <x:c r="M188" s="142" t="str">
        <x:v>Daily</x:v>
      </x:c>
      <x:c r="N188" s="143" t="str">
        <x:v>Biotechnology | Healthcare | Artificial Intelligence</x:v>
      </x:c>
    </x:row>
    <x:row r="189">
      <x:c r="A189" s="142" t="str">
        <x:v>Yes</x:v>
      </x:c>
      <x:c r="B189" s="143" t="str">
        <x:v>Global</x:v>
      </x:c>
      <x:c r="C189" s="143" t="str">
        <x:v>Japan</x:v>
      </x:c>
      <x:c r="D189" s="143" t="str">
        <x:v>Biotechnology, cell and gene therapy, drug discovery, clinical development and AI</x:v>
      </x:c>
      <x:c r="E189" s="143" t="str">
        <x:v>Astellas</x:v>
      </x:c>
      <x:c r="F189" s="143" t="str">
        <x:v>Astellas Pharma</x:v>
      </x:c>
      <x:c r="G189" s="143" t="str">
        <x:v>https://newsroom.astellas.com/news</x:v>
      </x:c>
      <x:c r="H189" s="143" t="str">
        <x:v>https://www.astellas.com/</x:v>
      </x:c>
      <x:c r="I189" s="142" t="n">
        <x:v>5</x:v>
      </x:c>
      <x:c r="J189" s="142" t="str">
        <x:v>No</x:v>
      </x:c>
      <x:c r="K189" s="143" t="str">
        <x:v>Official Astellas newsroom with strict removal of IR and personnel-only items.</x:v>
      </x:c>
      <x:c r="L189" s="142" t="str">
        <x:v>S</x:v>
      </x:c>
      <x:c r="M189" s="142" t="str">
        <x:v>Daily</x:v>
      </x:c>
      <x:c r="N189" s="143" t="str">
        <x:v>Biotechnology | Healthcare | Artificial Intelligence</x:v>
      </x:c>
    </x:row>
    <x:row r="190">
      <x:c r="A190" s="142" t="str">
        <x:v>Yes</x:v>
      </x:c>
      <x:c r="B190" s="143" t="str">
        <x:v>Global</x:v>
      </x:c>
      <x:c r="C190" s="143" t="str">
        <x:v>Japan</x:v>
      </x:c>
      <x:c r="D190" s="143" t="str">
        <x:v>Diagnostics, biotechnology, healthcare, AI and laboratory robotics R&amp;D</x:v>
      </x:c>
      <x:c r="E190" s="143" t="str">
        <x:v>Sysmex R&amp;D</x:v>
      </x:c>
      <x:c r="F190" s="143" t="str">
        <x:v>Sysmex</x:v>
      </x:c>
      <x:c r="G190" s="143" t="str">
        <x:v>https://www.sysmex.co.jp/en/rd/news.html</x:v>
      </x:c>
      <x:c r="H190" s="143" t="str">
        <x:v>https://www.sysmex.co.jp/en/rd/</x:v>
      </x:c>
      <x:c r="I190" s="142" t="n">
        <x:v>5</x:v>
      </x:c>
      <x:c r="J190" s="142" t="str">
        <x:v>No</x:v>
      </x:c>
      <x:c r="K190" s="143" t="str">
        <x:v>Official Sysmex R&amp;D source; official sitemap fallback handles the dynamic listing.</x:v>
      </x:c>
      <x:c r="L190" s="142" t="str">
        <x:v>S</x:v>
      </x:c>
      <x:c r="M190" s="142" t="str">
        <x:v>Daily</x:v>
      </x:c>
      <x:c r="N190" s="143" t="str">
        <x:v>Healthcare | Biotechnology | Artificial Intelligence | Robotics</x:v>
      </x:c>
    </x:row>
    <x:row r="191">
      <x:c r="A191" s="142" t="str">
        <x:v>Yes</x:v>
      </x:c>
      <x:c r="B191" s="143" t="str">
        <x:v>Global</x:v>
      </x:c>
      <x:c r="C191" s="143" t="str">
        <x:v>Japan</x:v>
      </x:c>
      <x:c r="D191" s="143" t="str">
        <x:v>Medical devices, surgical robotics, imaging and AI</x:v>
      </x:c>
      <x:c r="E191" s="143" t="str">
        <x:v>Olympus</x:v>
      </x:c>
      <x:c r="F191" s="143" t="str">
        <x:v>Olympus</x:v>
      </x:c>
      <x:c r="G191" s="143" t="str">
        <x:v>https://www.olympus-global.com/news/release/</x:v>
      </x:c>
      <x:c r="H191" s="143" t="str">
        <x:v>https://www.olympus-global.com/</x:v>
      </x:c>
      <x:c r="I191" s="142" t="n">
        <x:v>5</x:v>
      </x:c>
      <x:c r="J191" s="142" t="str">
        <x:v>No</x:v>
      </x:c>
      <x:c r="K191" s="143" t="str">
        <x:v>Official Olympus releases with strict medical-technology relevance.</x:v>
      </x:c>
      <x:c r="L191" s="142" t="str">
        <x:v>S</x:v>
      </x:c>
      <x:c r="M191" s="142" t="str">
        <x:v>Daily</x:v>
      </x:c>
      <x:c r="N191" s="143" t="str">
        <x:v>Healthcare | Robotics | Artificial Intelligence</x:v>
      </x:c>
    </x:row>
    <x:row r="192">
      <x:c r="A192" s="142" t="str">
        <x:v>Yes</x:v>
      </x:c>
      <x:c r="B192" s="143" t="str">
        <x:v>Global</x:v>
      </x:c>
      <x:c r="C192" s="143" t="str">
        <x:v>Japan</x:v>
      </x:c>
      <x:c r="D192" s="143" t="str">
        <x:v>Medical devices, healthcare, robotics and AI</x:v>
      </x:c>
      <x:c r="E192" s="143" t="str">
        <x:v>Terumo</x:v>
      </x:c>
      <x:c r="F192" s="143" t="str">
        <x:v>Terumo</x:v>
      </x:c>
      <x:c r="G192" s="143" t="str">
        <x:v>https://www.terumo.com/newsrelease</x:v>
      </x:c>
      <x:c r="H192" s="143" t="str">
        <x:v>https://www.terumo.com/</x:v>
      </x:c>
      <x:c r="I192" s="142" t="n">
        <x:v>5</x:v>
      </x:c>
      <x:c r="J192" s="142" t="str">
        <x:v>No</x:v>
      </x:c>
      <x:c r="K192" s="143" t="str">
        <x:v>Official Terumo releases; strict filter removes earnings and routine corporate announcements.</x:v>
      </x:c>
      <x:c r="L192" s="142" t="str">
        <x:v>S</x:v>
      </x:c>
      <x:c r="M192" s="142" t="str">
        <x:v>Daily</x:v>
      </x:c>
      <x:c r="N192" s="143" t="str">
        <x:v>Healthcare | Robotics | Artificial Intelligence</x:v>
      </x:c>
    </x:row>
    <x:row r="193">
      <x:c r="A193" s="142" t="str">
        <x:v>Yes</x:v>
      </x:c>
      <x:c r="B193" s="143" t="str">
        <x:v>Asia</x:v>
      </x:c>
      <x:c r="C193" s="143" t="str">
        <x:v>Japan</x:v>
      </x:c>
      <x:c r="D193" s="143" t="str">
        <x:v>Launch vehicles, rocket engines, satellites and communications</x:v>
      </x:c>
      <x:c r="E193" s="143" t="str">
        <x:v>Interstellar Technologies</x:v>
      </x:c>
      <x:c r="F193" s="143" t="str">
        <x:v>Interstellar Technologies</x:v>
      </x:c>
      <x:c r="G193" s="143" t="str">
        <x:v>https://www.istellartech.com/en/news</x:v>
      </x:c>
      <x:c r="H193" s="143" t="str">
        <x:v>https://www.istellartech.com/en/</x:v>
      </x:c>
      <x:c r="I193" s="142" t="n">
        <x:v>5</x:v>
      </x:c>
      <x:c r="J193" s="142" t="str">
        <x:v>No</x:v>
      </x:c>
      <x:c r="K193" s="143" t="str">
        <x:v>Official Interstellar Technologies updates.</x:v>
      </x:c>
      <x:c r="L193" s="142" t="str">
        <x:v>S</x:v>
      </x:c>
      <x:c r="M193" s="142" t="str">
        <x:v>Daily</x:v>
      </x:c>
      <x:c r="N193" s="143" t="str">
        <x:v>Space | Semiconductors &amp; Telecom</x:v>
      </x:c>
    </x:row>
    <x:row r="194">
      <x:c r="A194" s="142" t="str">
        <x:v>Yes</x:v>
      </x:c>
      <x:c r="B194" s="143" t="str">
        <x:v>Asia</x:v>
      </x:c>
      <x:c r="C194" s="143" t="str">
        <x:v>Japan</x:v>
      </x:c>
      <x:c r="D194" s="143" t="str">
        <x:v>SAR satellites, Earth observation, AI and telecommunications</x:v>
      </x:c>
      <x:c r="E194" s="143" t="str">
        <x:v>Synspective</x:v>
      </x:c>
      <x:c r="F194" s="143" t="str">
        <x:v>Synspective</x:v>
      </x:c>
      <x:c r="G194" s="143" t="str">
        <x:v>https://synspective.com/news/press-release/</x:v>
      </x:c>
      <x:c r="H194" s="143" t="str">
        <x:v>https://synspective.com/</x:v>
      </x:c>
      <x:c r="I194" s="142" t="n">
        <x:v>5</x:v>
      </x:c>
      <x:c r="J194" s="142" t="str">
        <x:v>No</x:v>
      </x:c>
      <x:c r="K194" s="143" t="str">
        <x:v>Official Synspective press releases.</x:v>
      </x:c>
      <x:c r="L194" s="142" t="str">
        <x:v>S</x:v>
      </x:c>
      <x:c r="M194" s="142" t="str">
        <x:v>Daily</x:v>
      </x:c>
      <x:c r="N194" s="143" t="str">
        <x:v>Space | Artificial Intelligence | Semiconductors &amp; Telecom</x:v>
      </x:c>
    </x:row>
    <x:row r="195">
      <x:c r="A195" s="142" t="str">
        <x:v>Yes</x:v>
      </x:c>
      <x:c r="B195" s="143" t="str">
        <x:v>Asia</x:v>
      </x:c>
      <x:c r="C195" s="143" t="str">
        <x:v>Japan</x:v>
      </x:c>
      <x:c r="D195" s="143" t="str">
        <x:v>Small satellites, Earth observation, AI and communications</x:v>
      </x:c>
      <x:c r="E195" s="143" t="str">
        <x:v>Axelspace</x:v>
      </x:c>
      <x:c r="F195" s="143" t="str">
        <x:v>Axelspace</x:v>
      </x:c>
      <x:c r="G195" s="143" t="str">
        <x:v>https://www.axelspace.com/news/</x:v>
      </x:c>
      <x:c r="H195" s="143" t="str">
        <x:v>https://www.axelspace.com/</x:v>
      </x:c>
      <x:c r="I195" s="142" t="n">
        <x:v>5</x:v>
      </x:c>
      <x:c r="J195" s="142" t="str">
        <x:v>No</x:v>
      </x:c>
      <x:c r="K195" s="143" t="str">
        <x:v>Official Axelspace news.</x:v>
      </x:c>
      <x:c r="L195" s="142" t="str">
        <x:v>S</x:v>
      </x:c>
      <x:c r="M195" s="142" t="str">
        <x:v>Daily</x:v>
      </x:c>
      <x:c r="N195" s="143" t="str">
        <x:v>Space | Artificial Intelligence | Semiconductors &amp; Telecom</x:v>
      </x:c>
    </x:row>
    <x:row r="196">
      <x:c r="A196" s="142" t="str">
        <x:v>Yes</x:v>
      </x:c>
      <x:c r="B196" s="143" t="str">
        <x:v>Asia</x:v>
      </x:c>
      <x:c r="C196" s="143" t="str">
        <x:v>Japan</x:v>
      </x:c>
      <x:c r="D196" s="143" t="str">
        <x:v>SAR satellites, Earth observation, AI and communications</x:v>
      </x:c>
      <x:c r="E196" s="143" t="str">
        <x:v>iQPS</x:v>
      </x:c>
      <x:c r="F196" s="143" t="str">
        <x:v>Institute for Q-shu Pioneers of Space</x:v>
      </x:c>
      <x:c r="G196" s="143" t="str">
        <x:v>https://i-qps.net/en/news/</x:v>
      </x:c>
      <x:c r="H196" s="143" t="str">
        <x:v>https://i-qps.net/en/</x:v>
      </x:c>
      <x:c r="I196" s="142" t="n">
        <x:v>5</x:v>
      </x:c>
      <x:c r="J196" s="142" t="str">
        <x:v>No</x:v>
      </x:c>
      <x:c r="K196" s="143" t="str">
        <x:v>Official iQPS news.</x:v>
      </x:c>
      <x:c r="L196" s="142" t="str">
        <x:v>S</x:v>
      </x:c>
      <x:c r="M196" s="142" t="str">
        <x:v>Daily</x:v>
      </x:c>
      <x:c r="N196" s="143" t="str">
        <x:v>Space | Artificial Intelligence | Semiconductors &amp; Telecom</x:v>
      </x:c>
    </x:row>
    <x:row r="197">
      <x:c r="A197" s="142" t="str">
        <x:v>Yes</x:v>
      </x:c>
      <x:c r="B197" s="143" t="str">
        <x:v>Asia</x:v>
      </x:c>
      <x:c r="C197" s="143" t="str">
        <x:v>Japan</x:v>
      </x:c>
      <x:c r="D197" s="143" t="str">
        <x:v>Space, robotics, fusion engineering and AI</x:v>
      </x:c>
      <x:c r="E197" s="143" t="str">
        <x:v>IHI</x:v>
      </x:c>
      <x:c r="F197" s="143" t="str">
        <x:v>IHI Corporation</x:v>
      </x:c>
      <x:c r="G197" s="143" t="str">
        <x:v>https://www.ihi.co.jp/en/all_news/</x:v>
      </x:c>
      <x:c r="H197" s="143" t="str">
        <x:v>https://www.ihi.co.jp/en/</x:v>
      </x:c>
      <x:c r="I197" s="142" t="n">
        <x:v>4</x:v>
      </x:c>
      <x:c r="J197" s="142" t="str">
        <x:v>No</x:v>
      </x:c>
      <x:c r="K197" s="143" t="str">
        <x:v>Official broad IHI newsroom with strict technology relevance.</x:v>
      </x:c>
      <x:c r="L197" s="142" t="str">
        <x:v>A</x:v>
      </x:c>
      <x:c r="M197" s="142" t="str">
        <x:v>Daily</x:v>
      </x:c>
      <x:c r="N197" s="143" t="str">
        <x:v>Space | Robotics | Fusion Energy | Artificial Intelligence</x:v>
      </x:c>
    </x:row>
    <x:row r="198">
      <x:c r="A198" s="142" t="str">
        <x:v>Yes</x:v>
      </x:c>
      <x:c r="B198" s="143" t="str">
        <x:v>Asia</x:v>
      </x:c>
      <x:c r="C198" s="143" t="str">
        <x:v>Japan</x:v>
      </x:c>
      <x:c r="D198" s="143" t="str">
        <x:v>Small satellites, deep-space systems, AI and communications</x:v>
      </x:c>
      <x:c r="E198" s="143" t="str">
        <x:v>ArkEdge Space</x:v>
      </x:c>
      <x:c r="F198" s="143" t="str">
        <x:v>ArkEdge Space</x:v>
      </x:c>
      <x:c r="G198" s="143" t="str">
        <x:v>https://arkedgespace.com/en/news-press-release</x:v>
      </x:c>
      <x:c r="H198" s="143" t="str">
        <x:v>https://arkedgespace.com/en/</x:v>
      </x:c>
      <x:c r="I198" s="142" t="n">
        <x:v>5</x:v>
      </x:c>
      <x:c r="J198" s="142" t="str">
        <x:v>No</x:v>
      </x:c>
      <x:c r="K198" s="143" t="str">
        <x:v>Official ArkEdge Space press releases.</x:v>
      </x:c>
      <x:c r="L198" s="142" t="str">
        <x:v>S</x:v>
      </x:c>
      <x:c r="M198" s="142" t="str">
        <x:v>Daily</x:v>
      </x:c>
      <x:c r="N198" s="143" t="str">
        <x:v>Space | Artificial Intelligence | Semiconductors &amp; Telecom</x:v>
      </x:c>
    </x:row>
    <x:row r="199">
      <x:c r="A199" s="142" t="str">
        <x:v>Yes</x:v>
      </x:c>
      <x:c r="B199" s="143" t="str">
        <x:v>Global</x:v>
      </x:c>
      <x:c r="C199" s="143" t="str">
        <x:v>United States / Japan</x:v>
      </x:c>
      <x:c r="D199" s="143" t="str">
        <x:v>Space robotics, autonomy and AI</x:v>
      </x:c>
      <x:c r="E199" s="143" t="str">
        <x:v>GITAI</x:v>
      </x:c>
      <x:c r="F199" s="143" t="str">
        <x:v>GITAI</x:v>
      </x:c>
      <x:c r="G199" s="143" t="str">
        <x:v>https://gitai.tech/news/</x:v>
      </x:c>
      <x:c r="H199" s="143" t="str">
        <x:v>https://gitai.tech/</x:v>
      </x:c>
      <x:c r="I199" s="142" t="n">
        <x:v>5</x:v>
      </x:c>
      <x:c r="J199" s="142" t="str">
        <x:v>No</x:v>
      </x:c>
      <x:c r="K199" s="143" t="str">
        <x:v>Official GITAI source; U.S.-headquartered with GITAI Japan as a subsidiary.</x:v>
      </x:c>
      <x:c r="L199" s="142" t="str">
        <x:v>S</x:v>
      </x:c>
      <x:c r="M199" s="142" t="str">
        <x:v>Daily</x:v>
      </x:c>
      <x:c r="N199" s="143" t="str">
        <x:v>Space | Robotics | Artificial Intelligence</x:v>
      </x:c>
    </x:row>
    <x:row r="200">
      <x:c r="A200" s="142" t="str">
        <x:v>Yes</x:v>
      </x:c>
      <x:c r="B200" s="143" t="str">
        <x:v>Asia</x:v>
      </x:c>
      <x:c r="C200" s="143" t="str">
        <x:v>Japan</x:v>
      </x:c>
      <x:c r="D200" s="143" t="str">
        <x:v>AI, quantum, semiconductors, telecommunications and robotics R&amp;D</x:v>
      </x:c>
      <x:c r="E200" s="143" t="str">
        <x:v>Fujitsu Research</x:v>
      </x:c>
      <x:c r="F200" s="143" t="str">
        <x:v>Fujitsu</x:v>
      </x:c>
      <x:c r="G200" s="143" t="str">
        <x:v>https://global.fujitsu/en-global/pr</x:v>
      </x:c>
      <x:c r="H200" s="143" t="str">
        <x:v>https://global.fujitsu/en-global/technology/research</x:v>
      </x:c>
      <x:c r="I200" s="142" t="n">
        <x:v>5</x:v>
      </x:c>
      <x:c r="J200" s="142" t="str">
        <x:v>No</x:v>
      </x:c>
      <x:c r="K200" s="143" t="str">
        <x:v>One official Fujitsu source with multiple technology tags; strict filter keeps R&amp;D, investment, demonstrations, standards and commercialization.</x:v>
      </x:c>
      <x:c r="L200" s="142" t="str">
        <x:v>S</x:v>
      </x:c>
      <x:c r="M200" s="142" t="str">
        <x:v>Daily</x:v>
      </x:c>
      <x:c r="N200" s="143" t="str">
        <x:v>Artificial Intelligence | Quantum | Semiconductors &amp; Telecom | Robotics</x:v>
      </x:c>
    </x:row>
    <x:row r="201">
      <x:c r="A201" s="142" t="str">
        <x:v>Yes</x:v>
      </x:c>
      <x:c r="B201" s="143" t="str">
        <x:v>Asia</x:v>
      </x:c>
      <x:c r="C201" s="143" t="str">
        <x:v>Japan</x:v>
      </x:c>
      <x:c r="D201" s="143" t="str">
        <x:v>AI, quantum, telecommunications, robotics and space R&amp;D</x:v>
      </x:c>
      <x:c r="E201" s="143" t="str">
        <x:v>NEC R&amp;D</x:v>
      </x:c>
      <x:c r="F201" s="143" t="str">
        <x:v>NEC</x:v>
      </x:c>
      <x:c r="G201" s="143" t="str">
        <x:v>https://www.nec.com/en/global/rd/index.html</x:v>
      </x:c>
      <x:c r="H201" s="143" t="str">
        <x:v>https://www.nec.com/en/global/rd/</x:v>
      </x:c>
      <x:c r="I201" s="142" t="n">
        <x:v>4</x:v>
      </x:c>
      <x:c r="J201" s="142" t="str">
        <x:v>No</x:v>
      </x:c>
      <x:c r="K201" s="143" t="str">
        <x:v>Official NEC R&amp;D source; strict filter and official sitemap fallback handle the research landing page.</x:v>
      </x:c>
      <x:c r="L201" s="142" t="str">
        <x:v>A</x:v>
      </x:c>
      <x:c r="M201" s="142" t="str">
        <x:v>Daily</x:v>
      </x:c>
      <x:c r="N201" s="143" t="str">
        <x:v>Artificial Intelligence | Quantum | Semiconductors &amp; Telecom | Robotics | Space</x:v>
      </x:c>
    </x:row>
    <x:row r="202">
      <x:c r="A202" s="142" t="str">
        <x:v>Yes</x:v>
      </x:c>
      <x:c r="B202" s="143" t="str">
        <x:v>Asia</x:v>
      </x:c>
      <x:c r="C202" s="143" t="str">
        <x:v>Japan</x:v>
      </x:c>
      <x:c r="D202" s="143" t="str">
        <x:v>AI, robotics and AI computing hardware R&amp;D</x:v>
      </x:c>
      <x:c r="E202" s="143" t="str">
        <x:v>Preferred Networks</x:v>
      </x:c>
      <x:c r="F202" s="143" t="str">
        <x:v>Preferred Networks</x:v>
      </x:c>
      <x:c r="G202" s="143" t="str">
        <x:v>https://www.preferred.jp/en/news</x:v>
      </x:c>
      <x:c r="H202" s="143" t="str">
        <x:v>https://www.preferred.jp/en/</x:v>
      </x:c>
      <x:c r="I202" s="142" t="n">
        <x:v>5</x:v>
      </x:c>
      <x:c r="J202" s="142" t="str">
        <x:v>No</x:v>
      </x:c>
      <x:c r="K202" s="143" t="str">
        <x:v>Official Preferred Networks updates.</x:v>
      </x:c>
      <x:c r="L202" s="142" t="str">
        <x:v>S</x:v>
      </x:c>
      <x:c r="M202" s="142" t="str">
        <x:v>Daily</x:v>
      </x:c>
      <x:c r="N202" s="143" t="str">
        <x:v>Artificial Intelligence | Robotics | Semiconductors &amp; Telecom</x:v>
      </x:c>
    </x:row>
    <x:row r="203">
      <x:c r="A203" s="142" t="str">
        <x:v>Yes</x:v>
      </x:c>
      <x:c r="B203" s="143" t="str">
        <x:v>Asia</x:v>
      </x:c>
      <x:c r="C203" s="143" t="str">
        <x:v>Japan</x:v>
      </x:c>
      <x:c r="D203" s="143" t="str">
        <x:v>AI, robotics and healthcare research</x:v>
      </x:c>
      <x:c r="E203" s="143" t="str">
        <x:v>Sony AI</x:v>
      </x:c>
      <x:c r="F203" s="143" t="str">
        <x:v>Sony AI</x:v>
      </x:c>
      <x:c r="G203" s="143" t="str">
        <x:v>https://ai.sony/news</x:v>
      </x:c>
      <x:c r="H203" s="143" t="str">
        <x:v>https://ai.sony/</x:v>
      </x:c>
      <x:c r="I203" s="142" t="n">
        <x:v>5</x:v>
      </x:c>
      <x:c r="J203" s="142" t="str">
        <x:v>No</x:v>
      </x:c>
      <x:c r="K203" s="143" t="str">
        <x:v>Official Sony AI research updates.</x:v>
      </x:c>
      <x:c r="L203" s="142" t="str">
        <x:v>S</x:v>
      </x:c>
      <x:c r="M203" s="142" t="str">
        <x:v>Daily</x:v>
      </x:c>
      <x:c r="N203" s="143" t="str">
        <x:v>Artificial Intelligence | Robotics | Healthcare</x:v>
      </x:c>
    </x:row>
    <x:row r="204">
      <x:c r="A204" s="142" t="str">
        <x:v>Yes</x:v>
      </x:c>
      <x:c r="B204" s="143" t="str">
        <x:v>Asia</x:v>
      </x:c>
      <x:c r="C204" s="143" t="str">
        <x:v>Japan</x:v>
      </x:c>
      <x:c r="D204" s="143" t="str">
        <x:v>AI, robotics, quantum and healthcare R&amp;D</x:v>
      </x:c>
      <x:c r="E204" s="143" t="str">
        <x:v>Hitachi R&amp;D</x:v>
      </x:c>
      <x:c r="F204" s="143" t="str">
        <x:v>Hitachi</x:v>
      </x:c>
      <x:c r="G204" s="143" t="str">
        <x:v>https://rd.hitachi.co.jp/_news</x:v>
      </x:c>
      <x:c r="H204" s="143" t="str">
        <x:v>https://rd.hitachi.co.jp/</x:v>
      </x:c>
      <x:c r="I204" s="142" t="n">
        <x:v>4</x:v>
      </x:c>
      <x:c r="J204" s="142" t="str">
        <x:v>No</x:v>
      </x:c>
      <x:c r="K204" s="143" t="str">
        <x:v>Official Hitachi R&amp;D news; strict filter removes researcher profiles and event-only items.</x:v>
      </x:c>
      <x:c r="L204" s="142" t="str">
        <x:v>A</x:v>
      </x:c>
      <x:c r="M204" s="142" t="str">
        <x:v>Daily</x:v>
      </x:c>
      <x:c r="N204" s="143" t="str">
        <x:v>Artificial Intelligence | Robotics | Quantum | Healthcare</x:v>
      </x:c>
    </x:row>
    <x:row r="205">
      <x:c r="A205" s="142" t="str">
        <x:v>Yes</x:v>
      </x:c>
      <x:c r="B205" s="143" t="str">
        <x:v>Asia</x:v>
      </x:c>
      <x:c r="C205" s="143" t="str">
        <x:v>Japan</x:v>
      </x:c>
      <x:c r="D205" s="143" t="str">
        <x:v>AI, robotics, semiconductors, telecommunications, quantum and space R&amp;D</x:v>
      </x:c>
      <x:c r="E205" s="143" t="str">
        <x:v>三菱電機 R&amp;D</x:v>
      </x:c>
      <x:c r="F205" s="143" t="str">
        <x:v>Mitsubishi Electric</x:v>
      </x:c>
      <x:c r="G205" s="143" t="str">
        <x:v>https://www.mitsubishielectric.com/en/pr/</x:v>
      </x:c>
      <x:c r="H205" s="143" t="str">
        <x:v>https://www.mitsubishielectric.com/en/about/rd/</x:v>
      </x:c>
      <x:c r="I205" s="142" t="n">
        <x:v>4</x:v>
      </x:c>
      <x:c r="J205" s="142" t="str">
        <x:v>No</x:v>
      </x:c>
      <x:c r="K205" s="143" t="str">
        <x:v>One official Mitsubishi Electric source with multiple technology tags; strict relevance is required for the broad newsroom.</x:v>
      </x:c>
      <x:c r="L205" s="142" t="str">
        <x:v>A</x:v>
      </x:c>
      <x:c r="M205" s="142" t="str">
        <x:v>Daily</x:v>
      </x:c>
      <x:c r="N205" s="143" t="str">
        <x:v>Artificial Intelligence | Robotics | Semiconductors &amp; Telecom | Quantum | Space</x:v>
      </x:c>
    </x:row>
    <x:row r="206">
      <x:c r="A206" s="142" t="str">
        <x:v>Yes</x:v>
      </x:c>
      <x:c r="B206" s="143" t="str">
        <x:v>Asia</x:v>
      </x:c>
      <x:c r="C206" s="143" t="str">
        <x:v>Japan</x:v>
      </x:c>
      <x:c r="D206" s="143" t="str">
        <x:v>AI, telecommunications, quantum and robotics R&amp;D</x:v>
      </x:c>
      <x:c r="E206" s="143" t="str">
        <x:v>SoftBank R&amp;D</x:v>
      </x:c>
      <x:c r="F206" s="143" t="str">
        <x:v>SoftBank</x:v>
      </x:c>
      <x:c r="G206" s="143" t="str">
        <x:v>https://www.softbank.jp/corp/technology/research/topics/</x:v>
      </x:c>
      <x:c r="H206" s="143" t="str">
        <x:v>https://www.softbank.jp/corp/technology/research/</x:v>
      </x:c>
      <x:c r="I206" s="142" t="n">
        <x:v>5</x:v>
      </x:c>
      <x:c r="J206" s="142" t="str">
        <x:v>No</x:v>
      </x:c>
      <x:c r="K206" s="143" t="str">
        <x:v>Official SoftBank Advanced Technology Research Institute updates.</x:v>
      </x:c>
      <x:c r="L206" s="142" t="str">
        <x:v>S</x:v>
      </x:c>
      <x:c r="M206" s="142" t="str">
        <x:v>Daily</x:v>
      </x:c>
      <x:c r="N206" s="143" t="str">
        <x:v>Artificial Intelligence | Semiconductors &amp; Telecom | Quantum | Robotics</x:v>
      </x:c>
    </x:row>
    <x:row r="207">
      <x:c r="A207" s="142" t="str">
        <x:v>Yes</x:v>
      </x:c>
      <x:c r="B207" s="143" t="str">
        <x:v>Asia</x:v>
      </x:c>
      <x:c r="C207" s="143" t="str">
        <x:v>Japan</x:v>
      </x:c>
      <x:c r="D207" s="143" t="str">
        <x:v>Artificial intelligence research and implementation</x:v>
      </x:c>
      <x:c r="E207" s="143" t="str">
        <x:v>CyberAgent AI Lab</x:v>
      </x:c>
      <x:c r="F207" s="143" t="str">
        <x:v>CyberAgent</x:v>
      </x:c>
      <x:c r="G207" s="143" t="str">
        <x:v>https://research.cyberagent.ai/news/</x:v>
      </x:c>
      <x:c r="H207" s="143" t="str">
        <x:v>https://research.cyberagent.ai/</x:v>
      </x:c>
      <x:c r="I207" s="142" t="n">
        <x:v>4</x:v>
      </x:c>
      <x:c r="J207" s="142" t="str">
        <x:v>No</x:v>
      </x:c>
      <x:c r="K207" s="143" t="str">
        <x:v>Official AI Lab updates; strict filter deprioritizes routine talks and event notices.</x:v>
      </x:c>
      <x:c r="L207" s="142" t="str">
        <x:v>A</x:v>
      </x:c>
      <x:c r="M207" s="142" t="str">
        <x:v>Daily</x:v>
      </x:c>
      <x:c r="N207" s="143" t="str">
        <x:v>Artificial Intelligence</x:v>
      </x:c>
    </x:row>
    <x:row r="208">
      <x:c r="A208" s="142" t="str">
        <x:v>Yes</x:v>
      </x:c>
      <x:c r="B208" s="143" t="str">
        <x:v>Asia</x:v>
      </x:c>
      <x:c r="C208" s="143" t="str">
        <x:v>Japan</x:v>
      </x:c>
      <x:c r="D208" s="143" t="str">
        <x:v>Autonomous driving, AI, robotics, semiconductors and communications</x:v>
      </x:c>
      <x:c r="E208" s="143" t="str">
        <x:v>TIER IV</x:v>
      </x:c>
      <x:c r="F208" s="143" t="str">
        <x:v>TIER IV</x:v>
      </x:c>
      <x:c r="G208" s="143" t="str">
        <x:v>https://tier4.co.jp/en/updates</x:v>
      </x:c>
      <x:c r="H208" s="143" t="str">
        <x:v>https://tier4.co.jp/en/</x:v>
      </x:c>
      <x:c r="I208" s="142" t="n">
        <x:v>5</x:v>
      </x:c>
      <x:c r="J208" s="142" t="str">
        <x:v>No</x:v>
      </x:c>
      <x:c r="K208" s="143" t="str">
        <x:v>Official TIER IV updates with strict removal of personnel and event-only releases.</x:v>
      </x:c>
      <x:c r="L208" s="142" t="str">
        <x:v>S</x:v>
      </x:c>
      <x:c r="M208" s="142" t="str">
        <x:v>Daily</x:v>
      </x:c>
      <x:c r="N208" s="143" t="str">
        <x:v>Artificial Intelligence | Robotics | Semiconductors &amp; Telecom</x:v>
      </x:c>
    </x:row>
    <x:row r="209">
      <x:c r="A209" s="142" t="str">
        <x:v>Yes</x:v>
      </x:c>
      <x:c r="B209" s="143" t="str">
        <x:v>Asia</x:v>
      </x:c>
      <x:c r="C209" s="143" t="str">
        <x:v>Japan</x:v>
      </x:c>
      <x:c r="D209" s="143" t="str">
        <x:v>Industrial robotics, AI and semiconductor automation</x:v>
      </x:c>
      <x:c r="E209" s="143" t="str">
        <x:v>安川電機</x:v>
      </x:c>
      <x:c r="F209" s="143" t="str">
        <x:v>Yaskawa Electric</x:v>
      </x:c>
      <x:c r="G209" s="143" t="str">
        <x:v>https://www.yaskawa-global.com/newsrelease</x:v>
      </x:c>
      <x:c r="H209" s="143" t="str">
        <x:v>https://www.yaskawa-global.com/</x:v>
      </x:c>
      <x:c r="I209" s="142" t="n">
        <x:v>5</x:v>
      </x:c>
      <x:c r="J209" s="142" t="str">
        <x:v>No</x:v>
      </x:c>
      <x:c r="K209" s="143" t="str">
        <x:v>Official Yaskawa releases; keeps technology development, facilities, demonstrations and implementation.</x:v>
      </x:c>
      <x:c r="L209" s="142" t="str">
        <x:v>S</x:v>
      </x:c>
      <x:c r="M209" s="142" t="str">
        <x:v>Daily</x:v>
      </x:c>
      <x:c r="N209" s="143" t="str">
        <x:v>Robotics | Artificial Intelligence | Semiconductors &amp; Telecom</x:v>
      </x:c>
    </x:row>
    <x:row r="210">
      <x:c r="A210" s="142" t="str">
        <x:v>Yes</x:v>
      </x:c>
      <x:c r="B210" s="143" t="str">
        <x:v>Asia</x:v>
      </x:c>
      <x:c r="C210" s="143" t="str">
        <x:v>Japan</x:v>
      </x:c>
      <x:c r="D210" s="143" t="str">
        <x:v>Robotics, AI, healthcare and space engineering</x:v>
      </x:c>
      <x:c r="E210" s="143" t="str">
        <x:v>川崎重工</x:v>
      </x:c>
      <x:c r="F210" s="143" t="str">
        <x:v>Kawasaki Heavy Industries</x:v>
      </x:c>
      <x:c r="G210" s="143" t="str">
        <x:v>https://global.kawasaki.com/en/corp/newsroom/news/</x:v>
      </x:c>
      <x:c r="H210" s="143" t="str">
        <x:v>https://global.kawasaki.com/</x:v>
      </x:c>
      <x:c r="I210" s="142" t="n">
        <x:v>4</x:v>
      </x:c>
      <x:c r="J210" s="142" t="str">
        <x:v>No</x:v>
      </x:c>
      <x:c r="K210" s="143" t="str">
        <x:v>Official broad newsroom with strict technology relevance.</x:v>
      </x:c>
      <x:c r="L210" s="142" t="str">
        <x:v>A</x:v>
      </x:c>
      <x:c r="M210" s="142" t="str">
        <x:v>Daily</x:v>
      </x:c>
      <x:c r="N210" s="143" t="str">
        <x:v>Robotics | Artificial Intelligence | Healthcare | Space</x:v>
      </x:c>
    </x:row>
    <x:row r="211">
      <x:c r="A211" s="142" t="str">
        <x:v>Yes</x:v>
      </x:c>
      <x:c r="B211" s="143" t="str">
        <x:v>Asia</x:v>
      </x:c>
      <x:c r="C211" s="143" t="str">
        <x:v>Japan</x:v>
      </x:c>
      <x:c r="D211" s="143" t="str">
        <x:v>Industrial robotics, autonomy and AI</x:v>
      </x:c>
      <x:c r="E211" s="143" t="str">
        <x:v>Mujin</x:v>
      </x:c>
      <x:c r="F211" s="143" t="str">
        <x:v>Mujin</x:v>
      </x:c>
      <x:c r="G211" s="143" t="str">
        <x:v>https://mujin-corp.com/resources/news</x:v>
      </x:c>
      <x:c r="H211" s="143" t="str">
        <x:v>https://mujin-corp.com/</x:v>
      </x:c>
      <x:c r="I211" s="142" t="n">
        <x:v>4</x:v>
      </x:c>
      <x:c r="J211" s="142" t="str">
        <x:v>No</x:v>
      </x:c>
      <x:c r="K211" s="143" t="str">
        <x:v>Official Mujin updates; strict filter removes event-only resource posts.</x:v>
      </x:c>
      <x:c r="L211" s="142" t="str">
        <x:v>A</x:v>
      </x:c>
      <x:c r="M211" s="142" t="str">
        <x:v>Daily</x:v>
      </x:c>
      <x:c r="N211" s="143" t="str">
        <x:v>Robotics | Artificial Intelligence</x:v>
      </x:c>
    </x:row>
    <x:row r="212">
      <x:c r="A212" s="142" t="str">
        <x:v>Yes</x:v>
      </x:c>
      <x:c r="B212" s="143" t="str">
        <x:v>Asia</x:v>
      </x:c>
      <x:c r="C212" s="143" t="str">
        <x:v>Japan</x:v>
      </x:c>
      <x:c r="D212" s="143" t="str">
        <x:v>AI, robotics, semiconductors, quantum and mobility technology</x:v>
      </x:c>
      <x:c r="E212" s="143" t="str">
        <x:v>DENSO</x:v>
      </x:c>
      <x:c r="F212" s="143" t="str">
        <x:v>DENSO</x:v>
      </x:c>
      <x:c r="G212" s="143" t="str">
        <x:v>https://www.denso.com/global/en/news/newsroom/RSSNews</x:v>
      </x:c>
      <x:c r="H212" s="143" t="str">
        <x:v>https://www.denso.com/global/en/news/newsroom/</x:v>
      </x:c>
      <x:c r="I212" s="142" t="n">
        <x:v>4</x:v>
      </x:c>
      <x:c r="J212" s="142" t="str">
        <x:v>Yes</x:v>
      </x:c>
      <x:c r="K212" s="143" t="str">
        <x:v>Official DENSO newsroom RSS with strict R&amp;D and implementation filtering.</x:v>
      </x:c>
      <x:c r="L212" s="142" t="str">
        <x:v>A</x:v>
      </x:c>
      <x:c r="M212" s="142" t="str">
        <x:v>Daily</x:v>
      </x:c>
      <x:c r="N212" s="143" t="str">
        <x:v>Artificial Intelligence | Robotics | Semiconductors &amp; Telecom | Quantum</x:v>
      </x:c>
    </x:row>
    <x:row r="213">
      <x:c r="A213" s="142" t="str">
        <x:v>Yes</x:v>
      </x:c>
      <x:c r="B213" s="143" t="str">
        <x:v>Asia</x:v>
      </x:c>
      <x:c r="C213" s="143" t="str">
        <x:v>Japan</x:v>
      </x:c>
      <x:c r="D213" s="143" t="str">
        <x:v>Semiconductor manufacturing equipment, process technology and advanced packaging</x:v>
      </x:c>
      <x:c r="E213" s="143" t="str">
        <x:v>東京エレクトロン</x:v>
      </x:c>
      <x:c r="F213" s="143" t="str">
        <x:v>Tokyo Electron</x:v>
      </x:c>
      <x:c r="G213" s="143" t="str">
        <x:v>https://www.tel.com/news/product/index.html</x:v>
      </x:c>
      <x:c r="H213" s="143" t="str">
        <x:v>https://www.tel.com/</x:v>
      </x:c>
      <x:c r="I213" s="142" t="n">
        <x:v>5</x:v>
      </x:c>
      <x:c r="J213" s="142" t="str">
        <x:v>No</x:v>
      </x:c>
      <x:c r="K213" s="143" t="str">
        <x:v>Official Tokyo Electron product and technology news.</x:v>
      </x:c>
      <x:c r="L213" s="142" t="str">
        <x:v>S</x:v>
      </x:c>
      <x:c r="M213" s="142" t="str">
        <x:v>Daily</x:v>
      </x:c>
      <x:c r="N213" s="143" t="str">
        <x:v>Semiconductors &amp; Telecom</x:v>
      </x:c>
    </x:row>
    <x:row r="214">
      <x:c r="A214" s="142" t="str">
        <x:v>Yes</x:v>
      </x:c>
      <x:c r="B214" s="143" t="str">
        <x:v>Asia</x:v>
      </x:c>
      <x:c r="C214" s="143" t="str">
        <x:v>Japan</x:v>
      </x:c>
      <x:c r="D214" s="143" t="str">
        <x:v>Semiconductors, embedded AI, robotics and communications</x:v>
      </x:c>
      <x:c r="E214" s="143" t="str">
        <x:v>Renesas</x:v>
      </x:c>
      <x:c r="F214" s="143" t="str">
        <x:v>Renesas Electronics</x:v>
      </x:c>
      <x:c r="G214" s="143" t="str">
        <x:v>https://www.renesas.com/en/about/press-room</x:v>
      </x:c>
      <x:c r="H214" s="143" t="str">
        <x:v>https://www.renesas.com/</x:v>
      </x:c>
      <x:c r="I214" s="142" t="n">
        <x:v>5</x:v>
      </x:c>
      <x:c r="J214" s="142" t="str">
        <x:v>No</x:v>
      </x:c>
      <x:c r="K214" s="143" t="str">
        <x:v>Official Renesas press room; official sitemap fallback handles dynamic rendering.</x:v>
      </x:c>
      <x:c r="L214" s="142" t="str">
        <x:v>S</x:v>
      </x:c>
      <x:c r="M214" s="142" t="str">
        <x:v>Daily</x:v>
      </x:c>
      <x:c r="N214" s="143" t="str">
        <x:v>Semiconductors &amp; Telecom | Artificial Intelligence | Robotics</x:v>
      </x:c>
    </x:row>
    <x:row r="215">
      <x:c r="A215" s="142" t="str">
        <x:v>Yes</x:v>
      </x:c>
      <x:c r="B215" s="143" t="str">
        <x:v>Asia</x:v>
      </x:c>
      <x:c r="C215" s="143" t="str">
        <x:v>Japan</x:v>
      </x:c>
      <x:c r="D215" s="143" t="str">
        <x:v>Memory semiconductors, storage and AI infrastructure</x:v>
      </x:c>
      <x:c r="E215" s="143" t="str">
        <x:v>Kioxia</x:v>
      </x:c>
      <x:c r="F215" s="143" t="str">
        <x:v>Kioxia</x:v>
      </x:c>
      <x:c r="G215" s="143" t="str">
        <x:v>https://www.kioxia.com/en-jp/about/news.html</x:v>
      </x:c>
      <x:c r="H215" s="143" t="str">
        <x:v>https://www.kioxia.com/</x:v>
      </x:c>
      <x:c r="I215" s="142" t="n">
        <x:v>5</x:v>
      </x:c>
      <x:c r="J215" s="142" t="str">
        <x:v>No</x:v>
      </x:c>
      <x:c r="K215" s="143" t="str">
        <x:v>Official Kioxia news; official sitemap fallback handles the dynamic listing.</x:v>
      </x:c>
      <x:c r="L215" s="142" t="str">
        <x:v>S</x:v>
      </x:c>
      <x:c r="M215" s="142" t="str">
        <x:v>Daily</x:v>
      </x:c>
      <x:c r="N215" s="143" t="str">
        <x:v>Semiconductors &amp; Telecom | Artificial Intelligence</x:v>
      </x:c>
    </x:row>
    <x:row r="216">
      <x:c r="A216" s="142" t="str">
        <x:v>Yes</x:v>
      </x:c>
      <x:c r="B216" s="143" t="str">
        <x:v>Asia</x:v>
      </x:c>
      <x:c r="C216" s="143" t="str">
        <x:v>Japan</x:v>
      </x:c>
      <x:c r="D216" s="143" t="str">
        <x:v>Semiconductors, image sensors, AI, robotics and medical imaging</x:v>
      </x:c>
      <x:c r="E216" s="143" t="str">
        <x:v>Sony Semiconductor Solutions</x:v>
      </x:c>
      <x:c r="F216" s="143" t="str">
        <x:v>Sony Semiconductor Solutions</x:v>
      </x:c>
      <x:c r="G216" s="143" t="str">
        <x:v>https://www.sony-semicon.com/en/news/index.html</x:v>
      </x:c>
      <x:c r="H216" s="143" t="str">
        <x:v>https://www.sony-semicon.com/</x:v>
      </x:c>
      <x:c r="I216" s="142" t="n">
        <x:v>5</x:v>
      </x:c>
      <x:c r="J216" s="142" t="str">
        <x:v>No</x:v>
      </x:c>
      <x:c r="K216" s="143" t="str">
        <x:v>Official Sony Semiconductor Solutions source with multiple technology tags.</x:v>
      </x:c>
      <x:c r="L216" s="142" t="str">
        <x:v>S</x:v>
      </x:c>
      <x:c r="M216" s="142" t="str">
        <x:v>Daily</x:v>
      </x:c>
      <x:c r="N216" s="143" t="str">
        <x:v>Semiconductors &amp; Telecom | Artificial Intelligence | Robotics | Healthcare</x:v>
      </x:c>
    </x:row>
    <x:row r="217">
      <x:c r="A217" s="142" t="str">
        <x:v>Yes</x:v>
      </x:c>
      <x:c r="B217" s="143" t="str">
        <x:v>Asia</x:v>
      </x:c>
      <x:c r="C217" s="143" t="str">
        <x:v>Japan</x:v>
      </x:c>
      <x:c r="D217" s="143" t="str">
        <x:v>Semiconductor test, AI infrastructure and measurement technology</x:v>
      </x:c>
      <x:c r="E217" s="143" t="str">
        <x:v>Advantest</x:v>
      </x:c>
      <x:c r="F217" s="143" t="str">
        <x:v>Advantest</x:v>
      </x:c>
      <x:c r="G217" s="143" t="str">
        <x:v>https://www.advantest.com/en/news/</x:v>
      </x:c>
      <x:c r="H217" s="143" t="str">
        <x:v>https://www.advantest.com/</x:v>
      </x:c>
      <x:c r="I217" s="142" t="n">
        <x:v>4</x:v>
      </x:c>
      <x:c r="J217" s="142" t="str">
        <x:v>No</x:v>
      </x:c>
      <x:c r="K217" s="143" t="str">
        <x:v>Official Advantest news; strict filter removes IR and routine corporate items.</x:v>
      </x:c>
      <x:c r="L217" s="142" t="str">
        <x:v>A</x:v>
      </x:c>
      <x:c r="M217" s="142" t="str">
        <x:v>Daily</x:v>
      </x:c>
      <x:c r="N217" s="143" t="str">
        <x:v>Semiconductors &amp; Telecom | Artificial Intelligence</x:v>
      </x:c>
    </x:row>
    <x:row r="218">
      <x:c r="A218" s="142" t="str">
        <x:v>Yes</x:v>
      </x:c>
      <x:c r="B218" s="143" t="str">
        <x:v>Asia</x:v>
      </x:c>
      <x:c r="C218" s="143" t="str">
        <x:v>Japan</x:v>
      </x:c>
      <x:c r="D218" s="143" t="str">
        <x:v>Semiconductor manufacturing equipment and medical technology</x:v>
      </x:c>
      <x:c r="E218" s="143" t="str">
        <x:v>SCREEN</x:v>
      </x:c>
      <x:c r="F218" s="143" t="str">
        <x:v>SCREEN Holdings</x:v>
      </x:c>
      <x:c r="G218" s="143" t="str">
        <x:v>https://www.screen.co.jp/en/news</x:v>
      </x:c>
      <x:c r="H218" s="143" t="str">
        <x:v>https://www.screen.co.jp/en/</x:v>
      </x:c>
      <x:c r="I218" s="142" t="n">
        <x:v>5</x:v>
      </x:c>
      <x:c r="J218" s="142" t="str">
        <x:v>No</x:v>
      </x:c>
      <x:c r="K218" s="143" t="str">
        <x:v>Official SCREEN news; canonical URL deduplication handles year-list overlap.</x:v>
      </x:c>
      <x:c r="L218" s="142" t="str">
        <x:v>S</x:v>
      </x:c>
      <x:c r="M218" s="142" t="str">
        <x:v>Daily</x:v>
      </x:c>
      <x:c r="N218" s="143" t="str">
        <x:v>Semiconductors &amp; Telecom | Healthcare</x:v>
      </x:c>
    </x:row>
    <x:row r="219">
      <x:c r="A219" s="142" t="str">
        <x:v>Yes</x:v>
      </x:c>
      <x:c r="B219" s="143" t="str">
        <x:v>Asia</x:v>
      </x:c>
      <x:c r="C219" s="143" t="str">
        <x:v>Japan</x:v>
      </x:c>
      <x:c r="D219" s="143" t="str">
        <x:v>Telecommunications, AI, quantum communications and robotics R&amp;D</x:v>
      </x:c>
      <x:c r="E219" s="143" t="str">
        <x:v>KDDI総合研究所</x:v>
      </x:c>
      <x:c r="F219" s="143" t="str">
        <x:v>KDDI Research</x:v>
      </x:c>
      <x:c r="G219" s="143" t="str">
        <x:v>https://www.kddi-research.jp/english/rss.xml</x:v>
      </x:c>
      <x:c r="H219" s="143" t="str">
        <x:v>https://www.kddi-research.jp/english/newsrelease.html</x:v>
      </x:c>
      <x:c r="I219" s="142" t="n">
        <x:v>5</x:v>
      </x:c>
      <x:c r="J219" s="142" t="str">
        <x:v>Yes</x:v>
      </x:c>
      <x:c r="K219" s="143" t="str">
        <x:v>Official KDDI Research RSS.</x:v>
      </x:c>
      <x:c r="L219" s="142" t="str">
        <x:v>S</x:v>
      </x:c>
      <x:c r="M219" s="142" t="str">
        <x:v>Daily</x:v>
      </x:c>
      <x:c r="N219" s="143" t="str">
        <x:v>Semiconductors &amp; Telecom | Artificial Intelligence | Quantum | Robotics</x:v>
      </x:c>
    </x:row>
    <x:row r="220">
      <x:c r="A220" s="142" t="str">
        <x:v>Yes</x:v>
      </x:c>
      <x:c r="B220" s="143" t="str">
        <x:v>Asia</x:v>
      </x:c>
      <x:c r="C220" s="143" t="str">
        <x:v>Japan</x:v>
      </x:c>
      <x:c r="D220" s="143" t="str">
        <x:v>National R&amp;D projects, demonstrations, research results and innovation funding</x:v>
      </x:c>
      <x:c r="E220" s="143" t="str">
        <x:v>NEDO ニュース</x:v>
      </x:c>
      <x:c r="F220" s="143" t="str">
        <x:v>New Energy and Industrial Technology Development Organization</x:v>
      </x:c>
      <x:c r="G220" s="143" t="str">
        <x:v>https://www.nedo.go.jp/form/event.php?f=press.html</x:v>
      </x:c>
      <x:c r="H220" s="143" t="str">
        <x:v>https://www.nedo.go.jp/</x:v>
      </x:c>
      <x:c r="I220" s="142" t="n">
        <x:v>5</x:v>
      </x:c>
      <x:c r="J220" s="142" t="str">
        <x:v>No</x:v>
      </x:c>
      <x:c r="K220" s="143" t="str">
        <x:v>Mandatory official NEDO source. Reads live press releases for project results, demonstrations, selections, investment and commercialization.</x:v>
      </x:c>
      <x:c r="L220" s="142" t="str">
        <x:v>S</x:v>
      </x:c>
      <x:c r="M220" s="142" t="str">
        <x:v>Daily</x:v>
      </x:c>
      <x:c r="N220" s="143" t="str">
        <x:v>Artificial Intelligence | Robotics | Semiconductors &amp; Telecom | Quantum | Fusion Energy | Biotechnology | Healthcare | Space</x:v>
      </x:c>
    </x:row>
    <x:row r="221">
      <x:c r="A221" s="142" t="str">
        <x:v>Yes</x:v>
      </x:c>
      <x:c r="B221" s="143" t="str">
        <x:v>Asia</x:v>
      </x:c>
      <x:c r="C221" s="143" t="str">
        <x:v>Japan</x:v>
      </x:c>
      <x:c r="D221" s="143" t="str">
        <x:v>R&amp;D funding, calls for proposals, national projects and startup support</x:v>
      </x:c>
      <x:c r="E221" s="143" t="str">
        <x:v>NEDO 公募</x:v>
      </x:c>
      <x:c r="F221" s="143" t="str">
        <x:v>New Energy and Industrial Technology Development Organization</x:v>
      </x:c>
      <x:c r="G221" s="143" t="str">
        <x:v>https://www.nedo.go.jp/koubo/</x:v>
      </x:c>
      <x:c r="H221" s="143" t="str">
        <x:v>https://www.nedo.go.jp/koubo/</x:v>
      </x:c>
      <x:c r="I221" s="142" t="n">
        <x:v>5</x:v>
      </x:c>
      <x:c r="J221" s="142" t="str">
        <x:v>No</x:v>
      </x:c>
      <x:c r="K221" s="143" t="str">
        <x:v>Mandatory live NEDO call listing; captures new national projects, commissioned R&amp;D and subsidy opportunities.</x:v>
      </x:c>
      <x:c r="L221" s="142" t="str">
        <x:v>S</x:v>
      </x:c>
      <x:c r="M221" s="142" t="str">
        <x:v>Daily</x:v>
      </x:c>
      <x:c r="N221" s="143" t="str">
        <x:v>Artificial Intelligence | Robotics | Semiconductors &amp; Telecom | Quantum | Fusion Energy | Biotechnology | Healthcare | Space</x:v>
      </x:c>
    </x:row>
    <x:row r="222">
      <x:c r="A222" s="142" t="str">
        <x:v>Yes</x:v>
      </x:c>
      <x:c r="B222" s="143" t="str">
        <x:v>Asia</x:v>
      </x:c>
      <x:c r="C222" s="143" t="str">
        <x:v>Japan</x:v>
      </x:c>
      <x:c r="D222" s="143" t="str">
        <x:v>Green Innovation Fund, national R&amp;D funding, demonstrations and commercialization</x:v>
      </x:c>
      <x:c r="E222" s="143" t="str">
        <x:v>NEDO グリーンイノベーション基金</x:v>
      </x:c>
      <x:c r="F222" s="143" t="str">
        <x:v>New Energy and Industrial Technology Development Organization</x:v>
      </x:c>
      <x:c r="G222" s="143" t="str">
        <x:v>https://www.nedo.go.jp/form/event.php?f=press.html</x:v>
      </x:c>
      <x:c r="H222" s="143" t="str">
        <x:v>https://green-innovation.nedo.go.jp/</x:v>
      </x:c>
      <x:c r="I222" s="142" t="n">
        <x:v>5</x:v>
      </x:c>
      <x:c r="J222" s="142" t="str">
        <x:v>No</x:v>
      </x:c>
      <x:c r="K222" s="143" t="str">
        <x:v>Focused logical source over the official NEDO release listing; canonical article URLs prevent duplicates with NEDO News.</x:v>
      </x:c>
      <x:c r="L222" s="142" t="str">
        <x:v>S</x:v>
      </x:c>
      <x:c r="M222" s="142" t="str">
        <x:v>Daily</x:v>
      </x:c>
      <x:c r="N222" s="143" t="str">
        <x:v>Semiconductors &amp; Telecom | Fusion Energy</x:v>
      </x:c>
    </x:row>
    <x:row r="223">
      <x:c r="A223" s="142" t="str">
        <x:v>Yes</x:v>
      </x:c>
      <x:c r="B223" s="143" t="str">
        <x:v>Asia</x:v>
      </x:c>
      <x:c r="C223" s="143" t="str">
        <x:v>Japan</x:v>
      </x:c>
      <x:c r="D223" s="143" t="str">
        <x:v>Applied research, collaboration, research infrastructure and technology transfer</x:v>
      </x:c>
      <x:c r="E223" s="143" t="str">
        <x:v>産総研 お知らせ</x:v>
      </x:c>
      <x:c r="F223" s="143" t="str">
        <x:v>National Institute of Advanced Industrial Science and Technology</x:v>
      </x:c>
      <x:c r="G223" s="143" t="str">
        <x:v>https://www.aist.go.jp/aist_j/news/announce/l_news_announce.html</x:v>
      </x:c>
      <x:c r="H223" s="143" t="str">
        <x:v>https://www.aist.go.jp/aist_j/news/</x:v>
      </x:c>
      <x:c r="I223" s="142" t="n">
        <x:v>5</x:v>
      </x:c>
      <x:c r="J223" s="142" t="str">
        <x:v>No</x:v>
      </x:c>
      <x:c r="K223" s="143" t="str">
        <x:v>Mandatory official AIST source; strict content filter removes events, awards and routine administration.</x:v>
      </x:c>
      <x:c r="L223" s="142" t="str">
        <x:v>S</x:v>
      </x:c>
      <x:c r="M223" s="142" t="str">
        <x:v>Daily</x:v>
      </x:c>
      <x:c r="N223" s="143" t="str">
        <x:v>Artificial Intelligence | Robotics | Semiconductors &amp; Telecom | Quantum | Fusion Energy | Biotechnology | Healthcare | Space</x:v>
      </x:c>
    </x:row>
    <x:row r="224">
      <x:c r="A224" s="142" t="str">
        <x:v>Yes</x:v>
      </x:c>
      <x:c r="B224" s="143" t="str">
        <x:v>Asia</x:v>
      </x:c>
      <x:c r="C224" s="143" t="str">
        <x:v>Japan</x:v>
      </x:c>
      <x:c r="D224" s="143" t="str">
        <x:v>Official applied research results</x:v>
      </x:c>
      <x:c r="E224" s="143" t="str">
        <x:v>産総研 研究成果</x:v>
      </x:c>
      <x:c r="F224" s="143" t="str">
        <x:v>National Institute of Advanced Industrial Science and Technology</x:v>
      </x:c>
      <x:c r="G224" s="143" t="str">
        <x:v>https://www.aist.go.jp/aist_j/news/research/l_news_research.html</x:v>
      </x:c>
      <x:c r="H224" s="143" t="str">
        <x:v>https://www.aist.go.jp/aist_j/news/research/l_news_research.html</x:v>
      </x:c>
      <x:c r="I224" s="142" t="n">
        <x:v>5</x:v>
      </x:c>
      <x:c r="J224" s="142" t="str">
        <x:v>No</x:v>
      </x:c>
      <x:c r="K224" s="143" t="str">
        <x:v>Mandatory official AIST research-results listing, limited to the eight monitored technology fields.</x:v>
      </x:c>
      <x:c r="L224" s="142" t="str">
        <x:v>S</x:v>
      </x:c>
      <x:c r="M224" s="142" t="str">
        <x:v>Daily</x:v>
      </x:c>
      <x:c r="N224" s="143" t="str">
        <x:v>Artificial Intelligence | Robotics | Semiconductors &amp; Telecom | Quantum | Fusion Energy | Biotechnology | Healthcare | Space</x:v>
      </x:c>
    </x:row>
    <x:row r="225">
      <x:c r="A225" s="142" t="str">
        <x:v>Yes</x:v>
      </x:c>
      <x:c r="B225" s="143" t="str">
        <x:v>Asia</x:v>
      </x:c>
      <x:c r="C225" s="143" t="str">
        <x:v>Japan</x:v>
      </x:c>
      <x:c r="D225" s="143" t="str">
        <x:v>Frontier research results in AI, quantum, biotechnology, healthcare and space science</x:v>
      </x:c>
      <x:c r="E225" s="143" t="str">
        <x:v>理化学研究所</x:v>
      </x:c>
      <x:c r="F225" s="143" t="str">
        <x:v>RIKEN</x:v>
      </x:c>
      <x:c r="G225" s="143" t="str">
        <x:v>https://www.riken.jp/feed/press_feed/</x:v>
      </x:c>
      <x:c r="H225" s="143" t="str">
        <x:v>https://www.riken.jp/press/</x:v>
      </x:c>
      <x:c r="I225" s="142" t="n">
        <x:v>5</x:v>
      </x:c>
      <x:c r="J225" s="142" t="str">
        <x:v>Yes</x:v>
      </x:c>
      <x:c r="K225" s="143" t="str">
        <x:v>Official RIKEN press-release feed; strict filter keeps monitored technology research.</x:v>
      </x:c>
      <x:c r="L225" s="142" t="str">
        <x:v>S</x:v>
      </x:c>
      <x:c r="M225" s="142" t="str">
        <x:v>Daily</x:v>
      </x:c>
      <x:c r="N225" s="143" t="str">
        <x:v>Artificial Intelligence | Quantum | Biotechnology | Healthcare | Space</x:v>
      </x:c>
    </x:row>
    <x:row r="226">
      <x:c r="A226" s="142" t="str">
        <x:v>Yes</x:v>
      </x:c>
      <x:c r="B226" s="143" t="str">
        <x:v>Asia</x:v>
      </x:c>
      <x:c r="C226" s="143" t="str">
        <x:v>Japan</x:v>
      </x:c>
      <x:c r="D226" s="143" t="str">
        <x:v>Telecommunications, AI, quantum communications, cybersecurity and space communications R&amp;D</x:v>
      </x:c>
      <x:c r="E226" s="143" t="str">
        <x:v>NICT</x:v>
      </x:c>
      <x:c r="F226" s="143" t="str">
        <x:v>National Institute of Information and Communications Technology</x:v>
      </x:c>
      <x:c r="G226" s="143" t="str">
        <x:v>https://www.nict.go.jp/press/</x:v>
      </x:c>
      <x:c r="H226" s="143" t="str">
        <x:v>https://www.nict.go.jp/</x:v>
      </x:c>
      <x:c r="I226" s="142" t="n">
        <x:v>5</x:v>
      </x:c>
      <x:c r="J226" s="142" t="str">
        <x:v>No</x:v>
      </x:c>
      <x:c r="K226" s="143" t="str">
        <x:v>Official NICT press-release listing.</x:v>
      </x:c>
      <x:c r="L226" s="142" t="str">
        <x:v>S</x:v>
      </x:c>
      <x:c r="M226" s="142" t="str">
        <x:v>Daily</x:v>
      </x:c>
      <x:c r="N226" s="143" t="str">
        <x:v>Artificial Intelligence | Semiconductors &amp; Telecom | Quantum | Space</x:v>
      </x:c>
    </x:row>
    <x:row r="227">
      <x:c r="A227" s="142" t="str">
        <x:v>Yes</x:v>
      </x:c>
      <x:c r="B227" s="143" t="str">
        <x:v>Asia</x:v>
      </x:c>
      <x:c r="C227" s="143" t="str">
        <x:v>Japan</x:v>
      </x:c>
      <x:c r="D227" s="143" t="str">
        <x:v>Space R&amp;D, launch systems, satellites, exploration and space policy</x:v>
      </x:c>
      <x:c r="E227" s="143" t="str">
        <x:v>JAXA</x:v>
      </x:c>
      <x:c r="F227" s="143" t="str">
        <x:v>Japan Aerospace Exploration Agency</x:v>
      </x:c>
      <x:c r="G227" s="143" t="str">
        <x:v>https://www.jaxa.jp/rss/press_j.rdf</x:v>
      </x:c>
      <x:c r="H227" s="143" t="str">
        <x:v>https://www.jaxa.jp/press/</x:v>
      </x:c>
      <x:c r="I227" s="142" t="n">
        <x:v>5</x:v>
      </x:c>
      <x:c r="J227" s="142" t="str">
        <x:v>Yes</x:v>
      </x:c>
      <x:c r="K227" s="143" t="str">
        <x:v>Official JAXA global press listing.</x:v>
      </x:c>
      <x:c r="L227" s="142" t="str">
        <x:v>S</x:v>
      </x:c>
      <x:c r="M227" s="142" t="str">
        <x:v>Daily</x:v>
      </x:c>
      <x:c r="N227" s="143" t="str">
        <x:v>Space | Robotics | Semiconductors &amp; Telecom</x:v>
      </x:c>
    </x:row>
    <x:row r="228">
      <x:c r="A228" s="142" t="str">
        <x:v>Yes</x:v>
      </x:c>
      <x:c r="B228" s="143" t="str">
        <x:v>Asia</x:v>
      </x:c>
      <x:c r="C228" s="143" t="str">
        <x:v>Japan</x:v>
      </x:c>
      <x:c r="D228" s="143" t="str">
        <x:v>Space Strategy Fund, R&amp;D funding, calls, selections and commercialization</x:v>
      </x:c>
      <x:c r="E228" s="143" t="str">
        <x:v>JAXA 宇宙戦略基金</x:v>
      </x:c>
      <x:c r="F228" s="143" t="str">
        <x:v>Japan Aerospace Exploration Agency</x:v>
      </x:c>
      <x:c r="G228" s="143" t="str">
        <x:v>https://fund.jaxa.jp/</x:v>
      </x:c>
      <x:c r="H228" s="143" t="str">
        <x:v>https://fund.jaxa.jp/</x:v>
      </x:c>
      <x:c r="I228" s="142" t="n">
        <x:v>5</x:v>
      </x:c>
      <x:c r="J228" s="142" t="str">
        <x:v>No</x:v>
      </x:c>
      <x:c r="K228" s="143" t="str">
        <x:v>Official Space Strategy Fund updates, including calls, selections and program changes.</x:v>
      </x:c>
      <x:c r="L228" s="142" t="str">
        <x:v>S</x:v>
      </x:c>
      <x:c r="M228" s="142" t="str">
        <x:v>Daily</x:v>
      </x:c>
      <x:c r="N228" s="143" t="str">
        <x:v>Space | Robotics | Semiconductors &amp; Telecom</x:v>
      </x:c>
    </x:row>
    <x:row r="229">
      <x:c r="A229" s="142" t="str">
        <x:v>Yes</x:v>
      </x:c>
      <x:c r="B229" s="143" t="str">
        <x:v>Asia</x:v>
      </x:c>
      <x:c r="C229" s="143" t="str">
        <x:v>Japan</x:v>
      </x:c>
      <x:c r="D229" s="143" t="str">
        <x:v>Research results, national R&amp;D programs, funding, technology transfer and startups</x:v>
      </x:c>
      <x:c r="E229" s="143" t="str">
        <x:v>JST プレスリリース</x:v>
      </x:c>
      <x:c r="F229" s="143" t="str">
        <x:v>Japan Science and Technology Agency</x:v>
      </x:c>
      <x:c r="G229" s="143" t="str">
        <x:v>https://www.jst.go.jp/rss/press.xml</x:v>
      </x:c>
      <x:c r="H229" s="143" t="str">
        <x:v>https://www.jst.go.jp/pr/index.html</x:v>
      </x:c>
      <x:c r="I229" s="142" t="n">
        <x:v>5</x:v>
      </x:c>
      <x:c r="J229" s="142" t="str">
        <x:v>Yes</x:v>
      </x:c>
      <x:c r="K229" s="143" t="str">
        <x:v>Official JST press-release feed; separate from the existing JST-CRDS policy-report source.</x:v>
      </x:c>
      <x:c r="L229" s="142" t="str">
        <x:v>S</x:v>
      </x:c>
      <x:c r="M229" s="142" t="str">
        <x:v>Daily</x:v>
      </x:c>
      <x:c r="N229" s="143" t="str">
        <x:v>Artificial Intelligence | Robotics | Semiconductors &amp; Telecom | Quantum | Fusion Energy | Biotechnology | Healthcare | Space</x:v>
      </x:c>
    </x:row>
    <x:row r="230">
      <x:c r="A230" s="142" t="str">
        <x:v>Yes</x:v>
      </x:c>
      <x:c r="B230" s="143" t="str">
        <x:v>Asia</x:v>
      </x:c>
      <x:c r="C230" s="143" t="str">
        <x:v>Japan</x:v>
      </x:c>
      <x:c r="D230" s="143" t="str">
        <x:v>Japanese research and science news</x:v>
      </x:c>
      <x:c r="E230" s="143" t="str">
        <x:v>Science Japan</x:v>
      </x:c>
      <x:c r="F230" s="143" t="str">
        <x:v>Japan Science and Technology Agency</x:v>
      </x:c>
      <x:c r="G230" s="143" t="str">
        <x:v>https://sj.jst.go.jp/news/index.html</x:v>
      </x:c>
      <x:c r="H230" s="143" t="str">
        <x:v>https://sj.jst.go.jp/</x:v>
      </x:c>
      <x:c r="I230" s="142" t="n">
        <x:v>5</x:v>
      </x:c>
      <x:c r="J230" s="142" t="str">
        <x:v>No</x:v>
      </x:c>
      <x:c r="K230" s="143" t="str">
        <x:v>Scans the official Science Japan page instead of its RSS because the feed has separate corporate-use conditions.</x:v>
      </x:c>
      <x:c r="L230" s="142" t="str">
        <x:v>S</x:v>
      </x:c>
      <x:c r="M230" s="142" t="str">
        <x:v>Daily</x:v>
      </x:c>
      <x:c r="N230" s="143" t="str">
        <x:v>Artificial Intelligence | Robotics | Semiconductors &amp; Telecom | Quantum | Fusion Energy | Biotechnology | Healthcare | Space</x:v>
      </x:c>
    </x:row>
    <x:row r="231">
      <x:c r="A231" s="142" t="str">
        <x:v>Yes</x:v>
      </x:c>
      <x:c r="B231" s="143" t="str">
        <x:v>Asia</x:v>
      </x:c>
      <x:c r="C231" s="143" t="str">
        <x:v>Japan</x:v>
      </x:c>
      <x:c r="D231" s="143" t="str">
        <x:v>Quantum technology, fusion energy, radiation science and medical research</x:v>
      </x:c>
      <x:c r="E231" s="143" t="str">
        <x:v>QST</x:v>
      </x:c>
      <x:c r="F231" s="143" t="str">
        <x:v>National Institutes for Quantum Science and Technology</x:v>
      </x:c>
      <x:c r="G231" s="143" t="str">
        <x:v>https://www.qst.go.jp/rss/10/list7.xml</x:v>
      </x:c>
      <x:c r="H231" s="143" t="str">
        <x:v>https://www.qst.go.jp/site/press/</x:v>
      </x:c>
      <x:c r="I231" s="142" t="n">
        <x:v>5</x:v>
      </x:c>
      <x:c r="J231" s="142" t="str">
        <x:v>Yes</x:v>
      </x:c>
      <x:c r="K231" s="143" t="str">
        <x:v>Official QST press-release feed.</x:v>
      </x:c>
      <x:c r="L231" s="142" t="str">
        <x:v>S</x:v>
      </x:c>
      <x:c r="M231" s="142" t="str">
        <x:v>Daily</x:v>
      </x:c>
      <x:c r="N231" s="143" t="str">
        <x:v>Quantum | Fusion Energy | Healthcare | Biotechnology</x:v>
      </x:c>
    </x:row>
    <x:row r="232">
      <x:c r="A232" s="142" t="str">
        <x:v>Yes</x:v>
      </x:c>
      <x:c r="B232" s="143" t="str">
        <x:v>Asia</x:v>
      </x:c>
      <x:c r="C232" s="143" t="str">
        <x:v>Japan</x:v>
      </x:c>
      <x:c r="D232" s="143" t="str">
        <x:v>Advanced materials for semiconductors, quantum, fusion, biotechnology and space</x:v>
      </x:c>
      <x:c r="E232" s="143" t="str">
        <x:v>NIMS</x:v>
      </x:c>
      <x:c r="F232" s="143" t="str">
        <x:v>National Institute for Materials Science</x:v>
      </x:c>
      <x:c r="G232" s="143" t="str">
        <x:v>https://www.nims.go.jp/press/</x:v>
      </x:c>
      <x:c r="H232" s="143" t="str">
        <x:v>https://www.nims.go.jp/</x:v>
      </x:c>
      <x:c r="I232" s="142" t="n">
        <x:v>5</x:v>
      </x:c>
      <x:c r="J232" s="142" t="str">
        <x:v>No</x:v>
      </x:c>
      <x:c r="K232" s="143" t="str">
        <x:v>Official NIMS research press-release listing.</x:v>
      </x:c>
      <x:c r="L232" s="142" t="str">
        <x:v>S</x:v>
      </x:c>
      <x:c r="M232" s="142" t="str">
        <x:v>Daily</x:v>
      </x:c>
      <x:c r="N232" s="143" t="str">
        <x:v>Semiconductors &amp; Telecom | Quantum | Fusion Energy | Biotechnology | Healthcare | Space</x:v>
      </x:c>
    </x:row>
    <x:row r="233">
      <x:c r="A233" s="142" t="str">
        <x:v>Yes</x:v>
      </x:c>
      <x:c r="B233" s="143" t="str">
        <x:v>Asia</x:v>
      </x:c>
      <x:c r="C233" s="143" t="str">
        <x:v>Japan</x:v>
      </x:c>
      <x:c r="D233" s="143" t="str">
        <x:v>Accelerator science, quantum, materials, computing and particle research</x:v>
      </x:c>
      <x:c r="E233" s="143" t="str">
        <x:v>KEK</x:v>
      </x:c>
      <x:c r="F233" s="143" t="str">
        <x:v>High Energy Accelerator Research Organization</x:v>
      </x:c>
      <x:c r="G233" s="143" t="str">
        <x:v>https://www.kek.jp/ja/press</x:v>
      </x:c>
      <x:c r="H233" s="143" t="str">
        <x:v>https://www.kek.jp/ja/</x:v>
      </x:c>
      <x:c r="I233" s="142" t="n">
        <x:v>5</x:v>
      </x:c>
      <x:c r="J233" s="142" t="str">
        <x:v>No</x:v>
      </x:c>
      <x:c r="K233" s="143" t="str">
        <x:v>Official KEK press-release listing, restricted to monitored technology relevance.</x:v>
      </x:c>
      <x:c r="L233" s="142" t="str">
        <x:v>S</x:v>
      </x:c>
      <x:c r="M233" s="142" t="str">
        <x:v>Daily</x:v>
      </x:c>
      <x:c r="N233" s="143" t="str">
        <x:v>Quantum | Semiconductors &amp; Telecom</x:v>
      </x:c>
    </x:row>
    <x:row r="234">
      <x:c r="A234" s="142" t="str">
        <x:v>Yes</x:v>
      </x:c>
      <x:c r="B234" s="143" t="str">
        <x:v>Asia</x:v>
      </x:c>
      <x:c r="C234" s="143" t="str">
        <x:v>Japan</x:v>
      </x:c>
      <x:c r="D234" s="143" t="str">
        <x:v>Fusion energy, plasma science, stellarators and enabling technologies</x:v>
      </x:c>
      <x:c r="E234" s="143" t="str">
        <x:v>核融合科学研究所</x:v>
      </x:c>
      <x:c r="F234" s="143" t="str">
        <x:v>National Institute for Fusion Science</x:v>
      </x:c>
      <x:c r="G234" s="143" t="str">
        <x:v>https://www.nifs.ac.jp/news/researches.html</x:v>
      </x:c>
      <x:c r="H234" s="143" t="str">
        <x:v>https://www.nifs.ac.jp/</x:v>
      </x:c>
      <x:c r="I234" s="142" t="n">
        <x:v>5</x:v>
      </x:c>
      <x:c r="J234" s="142" t="str">
        <x:v>No</x:v>
      </x:c>
      <x:c r="K234" s="143" t="str">
        <x:v>Official NIFS research-results listing.</x:v>
      </x:c>
      <x:c r="L234" s="142" t="str">
        <x:v>S</x:v>
      </x:c>
      <x:c r="M234" s="142" t="str">
        <x:v>Daily</x:v>
      </x:c>
      <x:c r="N234" s="143" t="str">
        <x:v>Fusion Energy</x:v>
      </x:c>
    </x:row>
    <x:row r="235">
      <x:c r="A235" s="142" t="str">
        <x:v>Yes</x:v>
      </x:c>
      <x:c r="B235" s="143" t="str">
        <x:v>Asia</x:v>
      </x:c>
      <x:c r="C235" s="143" t="str">
        <x:v>Japan</x:v>
      </x:c>
      <x:c r="D235" s="143" t="str">
        <x:v>Fusion, nuclear materials, robotics, quantum and advanced energy R&amp;D</x:v>
      </x:c>
      <x:c r="E235" s="143" t="str">
        <x:v>JAEA</x:v>
      </x:c>
      <x:c r="F235" s="143" t="str">
        <x:v>Japan Atomic Energy Agency</x:v>
      </x:c>
      <x:c r="G235" s="143" t="str">
        <x:v>https://www.jaea.go.jp/news/press/results.html</x:v>
      </x:c>
      <x:c r="H235" s="143" t="str">
        <x:v>https://www.jaea.go.jp/</x:v>
      </x:c>
      <x:c r="I235" s="142" t="n">
        <x:v>5</x:v>
      </x:c>
      <x:c r="J235" s="142" t="str">
        <x:v>No</x:v>
      </x:c>
      <x:c r="K235" s="143" t="str">
        <x:v>Official JAEA research-results releases.</x:v>
      </x:c>
      <x:c r="L235" s="142" t="str">
        <x:v>S</x:v>
      </x:c>
      <x:c r="M235" s="142" t="str">
        <x:v>Daily</x:v>
      </x:c>
      <x:c r="N235" s="143" t="str">
        <x:v>Fusion Energy | Quantum | Robotics</x:v>
      </x:c>
    </x:row>
    <x:row r="236">
      <x:c r="A236" s="142" t="str">
        <x:v>Yes</x:v>
      </x:c>
      <x:c r="B236" s="143" t="str">
        <x:v>Asia</x:v>
      </x:c>
      <x:c r="C236" s="143" t="str">
        <x:v>Japan</x:v>
      </x:c>
      <x:c r="D236" s="143" t="str">
        <x:v>Agricultural biotechnology, AI, robotics, genomics and health research</x:v>
      </x:c>
      <x:c r="E236" s="143" t="str">
        <x:v>農研機構</x:v>
      </x:c>
      <x:c r="F236" s="143" t="str">
        <x:v>National Agriculture and Food Research Organization</x:v>
      </x:c>
      <x:c r="G236" s="143" t="str">
        <x:v>https://www.naro.go.jp/publicity_report/press/index.html</x:v>
      </x:c>
      <x:c r="H236" s="143" t="str">
        <x:v>https://www.naro.go.jp/</x:v>
      </x:c>
      <x:c r="I236" s="142" t="n">
        <x:v>5</x:v>
      </x:c>
      <x:c r="J236" s="142" t="str">
        <x:v>No</x:v>
      </x:c>
      <x:c r="K236" s="143" t="str">
        <x:v>Official NARO press-release listing with strict eight-technology filtering.</x:v>
      </x:c>
      <x:c r="L236" s="142" t="str">
        <x:v>S</x:v>
      </x:c>
      <x:c r="M236" s="142" t="str">
        <x:v>Daily</x:v>
      </x:c>
      <x:c r="N236" s="143" t="str">
        <x:v>Biotechnology | Artificial Intelligence | Robotics | Healthcare</x:v>
      </x:c>
    </x:row>
    <x:row r="237">
      <x:c r="A237" s="142" t="str">
        <x:v>Yes</x:v>
      </x:c>
      <x:c r="B237" s="143" t="str">
        <x:v>Asia</x:v>
      </x:c>
      <x:c r="C237" s="143" t="str">
        <x:v>Japan</x:v>
      </x:c>
      <x:c r="D237" s="143" t="str">
        <x:v>Biomedical innovation, drug discovery, biotechnology, healthcare and nutrition research</x:v>
      </x:c>
      <x:c r="E237" s="143" t="str">
        <x:v>医薬基盤・健康・栄養研究所</x:v>
      </x:c>
      <x:c r="F237" s="143" t="str">
        <x:v>National Institutes of Biomedical Innovation, Health and Nutrition</x:v>
      </x:c>
      <x:c r="G237" s="143" t="str">
        <x:v>https://www.nibn.go.jp/information.html</x:v>
      </x:c>
      <x:c r="H237" s="143" t="str">
        <x:v>https://www.nibn.go.jp/</x:v>
      </x:c>
      <x:c r="I237" s="142" t="n">
        <x:v>5</x:v>
      </x:c>
      <x:c r="J237" s="142" t="str">
        <x:v>No</x:v>
      </x:c>
      <x:c r="K237" s="143" t="str">
        <x:v>Official NIBN/NIBIOHN research-release path; routine administration is excluded.</x:v>
      </x:c>
      <x:c r="L237" s="142" t="str">
        <x:v>S</x:v>
      </x:c>
      <x:c r="M237" s="142" t="str">
        <x:v>Daily</x:v>
      </x:c>
      <x:c r="N237" s="143" t="str">
        <x:v>Biotechnology | Healthcare | Artificial Intelligence</x:v>
      </x:c>
    </x:row>
    <x:row r="238">
      <x:c r="A238" s="142" t="str">
        <x:v>Yes</x:v>
      </x:c>
      <x:c r="B238" s="143" t="str">
        <x:v>Asia</x:v>
      </x:c>
      <x:c r="C238" s="143" t="str">
        <x:v>Japan</x:v>
      </x:c>
      <x:c r="D238" s="143" t="str">
        <x:v>AI, computing, communications, quantum information and digital research infrastructure</x:v>
      </x:c>
      <x:c r="E238" s="143" t="str">
        <x:v>国立情報学研究所</x:v>
      </x:c>
      <x:c r="F238" s="143" t="str">
        <x:v>National Institute of Informatics</x:v>
      </x:c>
      <x:c r="G238" s="143" t="str">
        <x:v>https://www.nii.ac.jp/news/release/</x:v>
      </x:c>
      <x:c r="H238" s="143" t="str">
        <x:v>https://www.nii.ac.jp/</x:v>
      </x:c>
      <x:c r="I238" s="142" t="n">
        <x:v>5</x:v>
      </x:c>
      <x:c r="J238" s="142" t="str">
        <x:v>No</x:v>
      </x:c>
      <x:c r="K238" s="143" t="str">
        <x:v>Official NII press-release listing.</x:v>
      </x:c>
      <x:c r="L238" s="142" t="str">
        <x:v>S</x:v>
      </x:c>
      <x:c r="M238" s="142" t="str">
        <x:v>Daily</x:v>
      </x:c>
      <x:c r="N238" s="143" t="str">
        <x:v>Artificial Intelligence | Semiconductors &amp; Telecom | Quantum</x:v>
      </x:c>
    </x:row>
    <x:row r="239">
      <x:c r="A239" s="142" t="str">
        <x:v>Yes</x:v>
      </x:c>
      <x:c r="B239" s="143" t="str">
        <x:v>Asia</x:v>
      </x:c>
      <x:c r="C239" s="143" t="str">
        <x:v>Japan</x:v>
      </x:c>
      <x:c r="D239" s="143" t="str">
        <x:v>Science, technology, academic research policy, R&amp;D funding and national programs</x:v>
      </x:c>
      <x:c r="E239" s="143" t="str">
        <x:v>文部科学省</x:v>
      </x:c>
      <x:c r="F239" s="143" t="str">
        <x:v>Ministry of Education, Culture, Sports, Science and Technology</x:v>
      </x:c>
      <x:c r="G239" s="143" t="str">
        <x:v>https://www.mext.go.jp/b_menu/houdou/kagaku/index.html</x:v>
      </x:c>
      <x:c r="H239" s="143" t="str">
        <x:v>https://www.mext.go.jp/</x:v>
      </x:c>
      <x:c r="I239" s="142" t="n">
        <x:v>5</x:v>
      </x:c>
      <x:c r="J239" s="142" t="str">
        <x:v>No</x:v>
      </x:c>
      <x:c r="K239" s="143" t="str">
        <x:v>Official MEXT science and technology press-release listing; excludes routine meetings and event-only notices.</x:v>
      </x:c>
      <x:c r="L239" s="142" t="str">
        <x:v>S</x:v>
      </x:c>
      <x:c r="M239" s="142" t="str">
        <x:v>Daily</x:v>
      </x:c>
      <x:c r="N239" s="143" t="str">
        <x:v>Artificial Intelligence | Quantum | Fusion Energy | Biotechnology | Healthcare | Space</x:v>
      </x:c>
    </x:row>
    <x:row r="240">
      <x:c r="A240" s="142" t="str">
        <x:v>Yes</x:v>
      </x:c>
      <x:c r="B240" s="143" t="str">
        <x:v>Asia</x:v>
      </x:c>
      <x:c r="C240" s="143" t="str">
        <x:v>Japan</x:v>
      </x:c>
      <x:c r="D240" s="143" t="str">
        <x:v>AI, telecommunications, spectrum, 5G, 6G, standards and communications R&amp;D policy</x:v>
      </x:c>
      <x:c r="E240" s="143" t="str">
        <x:v>総務省</x:v>
      </x:c>
      <x:c r="F240" s="143" t="str">
        <x:v>Ministry of Internal Affairs and Communications</x:v>
      </x:c>
      <x:c r="G240" s="143" t="str">
        <x:v>https://www.soumu.go.jp/menu_news/s-news/index.html</x:v>
      </x:c>
      <x:c r="H240" s="143" t="str">
        <x:v>https://www.soumu.go.jp/</x:v>
      </x:c>
      <x:c r="I240" s="142" t="n">
        <x:v>5</x:v>
      </x:c>
      <x:c r="J240" s="142" t="str">
        <x:v>No</x:v>
      </x:c>
      <x:c r="K240" s="143" t="str">
        <x:v>Official MIC release listing with strict technology and innovation-policy filtering.</x:v>
      </x:c>
      <x:c r="L240" s="142" t="str">
        <x:v>S</x:v>
      </x:c>
      <x:c r="M240" s="142" t="str">
        <x:v>Daily</x:v>
      </x:c>
      <x:c r="N240" s="143" t="str">
        <x:v>Artificial Intelligence | Semiconductors &amp; Telecom | Quantum | Space</x:v>
      </x:c>
    </x:row>
    <x:row r="241">
      <x:c r="A241" s="142" t="str">
        <x:v>Yes</x:v>
      </x:c>
      <x:c r="B241" s="143" t="str">
        <x:v>Asia</x:v>
      </x:c>
      <x:c r="C241" s="143" t="str">
        <x:v>Japan</x:v>
      </x:c>
      <x:c r="D241" s="143" t="str">
        <x:v>AI policy, digital infrastructure, cybersecurity, standards and technology implementation</x:v>
      </x:c>
      <x:c r="E241" s="143" t="str">
        <x:v>IPA</x:v>
      </x:c>
      <x:c r="F241" s="143" t="str">
        <x:v>Information-technology Promotion Agency, Japan</x:v>
      </x:c>
      <x:c r="G241" s="143" t="str">
        <x:v>https://www.ipa.go.jp/pressrelease/index.html</x:v>
      </x:c>
      <x:c r="H241" s="143" t="str">
        <x:v>https://www.ipa.go.jp/</x:v>
      </x:c>
      <x:c r="I241" s="142" t="n">
        <x:v>5</x:v>
      </x:c>
      <x:c r="J241" s="142" t="str">
        <x:v>No</x:v>
      </x:c>
      <x:c r="K241" s="143" t="str">
        <x:v>Official IPA press releases; strict filter removes exams, personnel and routine operations.</x:v>
      </x:c>
      <x:c r="L241" s="142" t="str">
        <x:v>S</x:v>
      </x:c>
      <x:c r="M241" s="142" t="str">
        <x:v>Daily</x:v>
      </x:c>
      <x:c r="N241" s="143" t="str">
        <x:v>Artificial Intelligence | Semiconductors &amp; Telecom | Robotics</x:v>
      </x:c>
    </x:row>
    <x:row r="242">
      <x:c r="A242" s="142" t="str">
        <x:v>Yes</x:v>
      </x:c>
      <x:c r="B242" s="143" t="str">
        <x:v>Asia</x:v>
      </x:c>
      <x:c r="C242" s="143" t="str">
        <x:v>Japan</x:v>
      </x:c>
      <x:c r="D242" s="143" t="str">
        <x:v>Drug and medical-device regulation, approvals, new modalities, SaMD and regulatory science</x:v>
      </x:c>
      <x:c r="E242" s="143" t="str">
        <x:v>PMDA</x:v>
      </x:c>
      <x:c r="F242" s="143" t="str">
        <x:v>Pharmaceuticals and Medical Devices Agency</x:v>
      </x:c>
      <x:c r="G242" s="143" t="str">
        <x:v>https://www.pmda.go.jp/0017.html</x:v>
      </x:c>
      <x:c r="H242" s="143" t="str">
        <x:v>https://www.pmda.go.jp/</x:v>
      </x:c>
      <x:c r="I242" s="142" t="n">
        <x:v>5</x:v>
      </x:c>
      <x:c r="J242" s="142" t="str">
        <x:v>No</x:v>
      </x:c>
      <x:c r="K242" s="143" t="str">
        <x:v>Official PMDA updates with strict filtering for approvals, evaluation frameworks and emerging medical technology.</x:v>
      </x:c>
      <x:c r="L242" s="142" t="str">
        <x:v>S</x:v>
      </x:c>
      <x:c r="M242" s="142" t="str">
        <x:v>Daily</x:v>
      </x:c>
      <x:c r="N242" s="143" t="str">
        <x:v>Biotechnology | Healthcare | Artificial Intelligence</x:v>
      </x:c>
    </x:row>
    <x:row r="243">
      <x:c r="A243" s="142" t="str">
        <x:v>Yes</x:v>
      </x:c>
      <x:c r="B243" s="143" t="str">
        <x:v>Asia</x:v>
      </x:c>
      <x:c r="C243" s="143" t="str">
        <x:v>Japan</x:v>
      </x:c>
      <x:c r="D243" s="143" t="str">
        <x:v>Advanced technology, dual use, R&amp;D procurement, startups and international research collaboration</x:v>
      </x:c>
      <x:c r="E243" s="143" t="str">
        <x:v>防衛装備庁</x:v>
      </x:c>
      <x:c r="F243" s="143" t="str">
        <x:v>Acquisition, Technology &amp; Logistics Agency</x:v>
      </x:c>
      <x:c r="G243" s="143" t="str">
        <x:v>https://www.mod.go.jp/atla/history.html</x:v>
      </x:c>
      <x:c r="H243" s="143" t="str">
        <x:v>https://www.mod.go.jp/atla/</x:v>
      </x:c>
      <x:c r="I243" s="142" t="n">
        <x:v>5</x:v>
      </x:c>
      <x:c r="J243" s="142" t="str">
        <x:v>No</x:v>
      </x:c>
      <x:c r="K243" s="143" t="str">
        <x:v>Official ATLA updates; strict filter keeps advanced R&amp;D, calls, selections, procurement and dual-use initiatives.</x:v>
      </x:c>
      <x:c r="L243" s="142" t="str">
        <x:v>S</x:v>
      </x:c>
      <x:c r="M243" s="142" t="str">
        <x:v>Daily</x:v>
      </x:c>
      <x:c r="N243" s="143" t="str">
        <x:v>Artificial Intelligence | Robotics | Semiconductors &amp; Telecom | Quantum | Space</x:v>
      </x:c>
    </x:row>
    <x:row r="244">
      <x:c r="A244" s="142" t="str">
        <x:v>Yes</x:v>
      </x:c>
      <x:c r="B244" s="143" t="str">
        <x:v>Asia</x:v>
      </x:c>
      <x:c r="C244" s="143" t="str">
        <x:v>Japan</x:v>
      </x:c>
      <x:c r="D244" s="143" t="str">
        <x:v>Cross-ministerial Strategic Innovation Promotion Program, R&amp;D and social implementation</x:v>
      </x:c>
      <x:c r="E244" s="143" t="str">
        <x:v>SIP</x:v>
      </x:c>
      <x:c r="F244" s="143" t="str">
        <x:v>Cabinet Office, Government of Japan</x:v>
      </x:c>
      <x:c r="G244" s="143" t="str">
        <x:v>https://www8.cao.go.jp/cstp/gaiyo/sip/</x:v>
      </x:c>
      <x:c r="H244" s="143" t="str">
        <x:v>https://www8.cao.go.jp/cstp/gaiyo/sip/</x:v>
      </x:c>
      <x:c r="I244" s="142" t="n">
        <x:v>5</x:v>
      </x:c>
      <x:c r="J244" s="142" t="str">
        <x:v>No</x:v>
      </x:c>
      <x:c r="K244" s="143" t="str">
        <x:v>Official SIP page; tracks strategy, selections, program progress, major results and social implementation.</x:v>
      </x:c>
      <x:c r="L244" s="142" t="str">
        <x:v>S</x:v>
      </x:c>
      <x:c r="M244" s="142" t="str">
        <x:v>Daily</x:v>
      </x:c>
      <x:c r="N244" s="143" t="str">
        <x:v>Artificial Intelligence | Robotics | Semiconductors &amp; Telecom | Quantum | Biotechnology | Healthcare | Space</x:v>
      </x:c>
    </x:row>
    <x:row r="245">
      <x:c r="A245" s="142" t="str">
        <x:v>Yes</x:v>
      </x:c>
      <x:c r="B245" s="143" t="str">
        <x:v>Asia</x:v>
      </x:c>
      <x:c r="C245" s="143" t="str">
        <x:v>Japan</x:v>
      </x:c>
      <x:c r="D245" s="143" t="str">
        <x:v>Moonshot R&amp;D, mission-oriented programs, selections, evaluation and research results</x:v>
      </x:c>
      <x:c r="E245" s="143" t="str">
        <x:v>ムーンショット型研究開発</x:v>
      </x:c>
      <x:c r="F245" s="143" t="str">
        <x:v>Cabinet Office, Government of Japan</x:v>
      </x:c>
      <x:c r="G245" s="143" t="str">
        <x:v>https://www8.cao.go.jp/cstp/moonshot/index.html</x:v>
      </x:c>
      <x:c r="H245" s="143" t="str">
        <x:v>https://www8.cao.go.jp/cstp/moonshot/index.html</x:v>
      </x:c>
      <x:c r="I245" s="142" t="n">
        <x:v>5</x:v>
      </x:c>
      <x:c r="J245" s="142" t="str">
        <x:v>No</x:v>
      </x:c>
      <x:c r="K245" s="143" t="str">
        <x:v>Official Moonshot R&amp;D updates; canonical URLs and title fingerprints remove duplicates with implementing agencies.</x:v>
      </x:c>
      <x:c r="L245" s="142" t="str">
        <x:v>S</x:v>
      </x:c>
      <x:c r="M245" s="142" t="str">
        <x:v>Daily</x:v>
      </x:c>
      <x:c r="N245" s="143" t="str">
        <x:v>Artificial Intelligence | Robotics | Quantum | Fusion Energy | Biotechnology | Healthcare</x:v>
      </x:c>
    </x:row>
    <x:row r="246">
      <x:c r="A246" s="142" t="str">
        <x:v>Yes</x:v>
      </x:c>
      <x:c r="B246" s="143" t="str">
        <x:v>Asia</x:v>
      </x:c>
      <x:c r="C246" s="143" t="str">
        <x:v>Japan</x:v>
      </x:c>
      <x:c r="D246" s="143" t="str">
        <x:v>Economic security, critical and emerging technologies, national R&amp;D programs and funding</x:v>
      </x:c>
      <x:c r="E246" s="143" t="str">
        <x:v>K Program</x:v>
      </x:c>
      <x:c r="F246" s="143" t="str">
        <x:v>Cabinet Office, Government of Japan</x:v>
      </x:c>
      <x:c r="G246" s="143" t="str">
        <x:v>https://www8.cao.go.jp/cstp/anzen_anshin/whatsnew_kpro.html</x:v>
      </x:c>
      <x:c r="H246" s="143" t="str">
        <x:v>https://www8.cao.go.jp/cstp/anzen_anshin/kprogram.html</x:v>
      </x:c>
      <x:c r="I246" s="142" t="n">
        <x:v>5</x:v>
      </x:c>
      <x:c r="J246" s="142" t="str">
        <x:v>No</x:v>
      </x:c>
      <x:c r="K246" s="143" t="str">
        <x:v>Official economic-security critical-technology program updates; fixed documents are not re-added after first ingestion.</x:v>
      </x:c>
      <x:c r="L246" s="142" t="str">
        <x:v>S</x:v>
      </x:c>
      <x:c r="M246" s="142" t="str">
        <x:v>Daily</x:v>
      </x:c>
      <x:c r="N246" s="143" t="str">
        <x:v>Artificial Intelligence | Robotics | Semiconductors &amp; Telecom | Quantum | Biotechnology | Space</x:v>
      </x:c>
    </x:row>
    <x:row r="247">
      <x:c r="A247" s="142" t="str">
        <x:v>Yes</x:v>
      </x:c>
      <x:c r="B247" s="143" t="str">
        <x:v>Asia</x:v>
      </x:c>
      <x:c r="C247" s="143" t="str">
        <x:v>Japan</x:v>
      </x:c>
      <x:c r="D247" s="143" t="str">
        <x:v>Patents, intellectual property, standards, university technology transfer and startup policy</x:v>
      </x:c>
      <x:c r="E247" s="143" t="str">
        <x:v>特許庁</x:v>
      </x:c>
      <x:c r="F247" s="143" t="str">
        <x:v>Japan Patent Office</x:v>
      </x:c>
      <x:c r="G247" s="143" t="str">
        <x:v>https://www.jpo.go.jp/news/shinchaku/koshin/index.html</x:v>
      </x:c>
      <x:c r="H247" s="143" t="str">
        <x:v>https://www.jpo.go.jp/</x:v>
      </x:c>
      <x:c r="I247" s="142" t="n">
        <x:v>5</x:v>
      </x:c>
      <x:c r="J247" s="142" t="str">
        <x:v>No</x:v>
      </x:c>
      <x:c r="K247" s="143" t="str">
        <x:v>Official JPO updates; strict filter keeps substantive制度, examination, AI/IP, international, university and startup items.</x:v>
      </x:c>
      <x:c r="L247" s="142" t="str">
        <x:v>S</x:v>
      </x:c>
      <x:c r="M247" s="142" t="str">
        <x:v>Daily</x:v>
      </x:c>
      <x:c r="N247" s="143" t="str"/>
    </x:row>
    <x:row r="248">
      <x:c r="A248" s="142" t="str">
        <x:v>Yes</x:v>
      </x:c>
      <x:c r="B248" s="143" t="str">
        <x:v>Asia</x:v>
      </x:c>
      <x:c r="C248" s="143" t="str">
        <x:v>Japan</x:v>
      </x:c>
      <x:c r="D248" s="143" t="str">
        <x:v>Intellectual property, university technology transfer and startup support</x:v>
      </x:c>
      <x:c r="E248" s="143" t="str">
        <x:v>INPIT</x:v>
      </x:c>
      <x:c r="F248" s="143" t="str">
        <x:v>National Center for Industrial Property Information and Training</x:v>
      </x:c>
      <x:c r="G248" s="143" t="str">
        <x:v>https://www.inpit.go.jp/topics.html</x:v>
      </x:c>
      <x:c r="H248" s="143" t="str">
        <x:v>https://www.inpit.go.jp/</x:v>
      </x:c>
      <x:c r="I248" s="142" t="n">
        <x:v>5</x:v>
      </x:c>
      <x:c r="J248" s="142" t="str">
        <x:v>No</x:v>
      </x:c>
      <x:c r="K248" s="143" t="str">
        <x:v>Official INPIT updates; strict filter removes seminars, training and maintenance notices.</x:v>
      </x:c>
      <x:c r="L248" s="142" t="str">
        <x:v>S</x:v>
      </x:c>
      <x:c r="M248" s="142" t="str">
        <x:v>Daily</x:v>
      </x:c>
      <x:c r="N248" s="143" t="str"/>
    </x:row>
    <x:row r="249">
      <x:c r="A249" s="142" t="str">
        <x:v>Yes</x:v>
      </x:c>
      <x:c r="B249" s="143" t="str">
        <x:v>Asia</x:v>
      </x:c>
      <x:c r="C249" s="143" t="str">
        <x:v>Japan</x:v>
      </x:c>
      <x:c r="D249" s="143" t="str">
        <x:v>Fusion energy policy, industry, standards, supply chain and commercialization</x:v>
      </x:c>
      <x:c r="E249" s="143" t="str">
        <x:v>J-Fusion</x:v>
      </x:c>
      <x:c r="F249" s="143" t="str">
        <x:v>Japan Fusion Energy Council</x:v>
      </x:c>
      <x:c r="G249" s="143" t="str">
        <x:v>https://jfusion.jp/C21/news_list</x:v>
      </x:c>
      <x:c r="H249" s="143" t="str">
        <x:v>https://jfusion.jp/</x:v>
      </x:c>
      <x:c r="I249" s="142" t="n">
        <x:v>4</x:v>
      </x:c>
      <x:c r="J249" s="142" t="str">
        <x:v>No</x:v>
      </x:c>
      <x:c r="K249" s="143" t="str">
        <x:v>Official association updates; strict filter keeps policy, R&amp;D, standards, supply-chain and commercialization developments.</x:v>
      </x:c>
      <x:c r="L249" s="142" t="str">
        <x:v>A</x:v>
      </x:c>
      <x:c r="M249" s="142" t="str">
        <x:v>Daily</x:v>
      </x:c>
      <x:c r="N249" s="143" t="str">
        <x:v>Fusion Energy</x:v>
      </x:c>
    </x:row>
    <x:row r="250">
      <x:c r="A250" s="142" t="str">
        <x:v>Yes</x:v>
      </x:c>
      <x:c r="B250" s="143" t="str">
        <x:v>Asia</x:v>
      </x:c>
      <x:c r="C250" s="143" t="str">
        <x:v>Japan</x:v>
      </x:c>
      <x:c r="D250" s="143" t="str">
        <x:v>Quantum industry, standards, policy, startup support and implementation</x:v>
      </x:c>
      <x:c r="E250" s="143" t="str">
        <x:v>Q-STAR</x:v>
      </x:c>
      <x:c r="F250" s="143" t="str">
        <x:v>Quantum STrategic industry Alliance for Revolution</x:v>
      </x:c>
      <x:c r="G250" s="143" t="str">
        <x:v>https://qstar.jp/archives/about_news</x:v>
      </x:c>
      <x:c r="H250" s="143" t="str">
        <x:v>https://qstar.jp/</x:v>
      </x:c>
      <x:c r="I250" s="142" t="n">
        <x:v>4</x:v>
      </x:c>
      <x:c r="J250" s="142" t="str">
        <x:v>No</x:v>
      </x:c>
      <x:c r="K250" s="143" t="str">
        <x:v>Official Q-STAR updates; strict filter removes routine member and event notices.</x:v>
      </x:c>
      <x:c r="L250" s="142" t="str">
        <x:v>A</x:v>
      </x:c>
      <x:c r="M250" s="142" t="str">
        <x:v>Daily</x:v>
      </x:c>
      <x:c r="N250" s="143" t="str">
        <x:v>Quantum</x:v>
      </x:c>
    </x:row>
    <x:row r="251">
      <x:c r="A251" s="142" t="str">
        <x:v>Yes</x:v>
      </x:c>
      <x:c r="B251" s="143" t="str">
        <x:v>Asia</x:v>
      </x:c>
      <x:c r="C251" s="143" t="str">
        <x:v>Japan</x:v>
      </x:c>
      <x:c r="D251" s="143" t="str">
        <x:v>Semiconductors, communications, AI, standards and electronics industrial policy</x:v>
      </x:c>
      <x:c r="E251" s="143" t="str">
        <x:v>JEITA</x:v>
      </x:c>
      <x:c r="F251" s="143" t="str">
        <x:v>Japan Electronics and Information Technology Industries Association</x:v>
      </x:c>
      <x:c r="G251" s="143" t="str">
        <x:v>https://www.jeita.or.jp/cgi-bin/topics/list.cgi</x:v>
      </x:c>
      <x:c r="H251" s="143" t="str">
        <x:v>https://www.jeita.or.jp/</x:v>
      </x:c>
      <x:c r="I251" s="142" t="n">
        <x:v>4</x:v>
      </x:c>
      <x:c r="J251" s="142" t="str">
        <x:v>No</x:v>
      </x:c>
      <x:c r="K251" s="143" t="str">
        <x:v>Official JEITA topics; very strict filter keeps semiconductor strategy, standards, major statistics and policy.</x:v>
      </x:c>
      <x:c r="L251" s="142" t="str">
        <x:v>A</x:v>
      </x:c>
      <x:c r="M251" s="142" t="str">
        <x:v>Daily</x:v>
      </x:c>
      <x:c r="N251" s="143" t="str">
        <x:v>Artificial Intelligence | Semiconductors &amp; Telecom</x:v>
      </x:c>
    </x:row>
    <x:row r="252">
      <x:c r="A252" s="142" t="str">
        <x:v>Yes</x:v>
      </x:c>
      <x:c r="B252" s="143" t="str">
        <x:v>Asia</x:v>
      </x:c>
      <x:c r="C252" s="143" t="str">
        <x:v>Japan</x:v>
      </x:c>
      <x:c r="D252" s="143" t="str">
        <x:v>Robotics, physical AI, standards, industrial data and policy</x:v>
      </x:c>
      <x:c r="E252" s="143" t="str">
        <x:v>日本ロボット工業会</x:v>
      </x:c>
      <x:c r="F252" s="143" t="str">
        <x:v>Japan Robot Association</x:v>
      </x:c>
      <x:c r="G252" s="143" t="str">
        <x:v>https://www.jara.jp/news/index.html</x:v>
      </x:c>
      <x:c r="H252" s="143" t="str">
        <x:v>https://www.jara.jp/</x:v>
      </x:c>
      <x:c r="I252" s="142" t="n">
        <x:v>4</x:v>
      </x:c>
      <x:c r="J252" s="142" t="str">
        <x:v>No</x:v>
      </x:c>
      <x:c r="K252" s="143" t="str">
        <x:v>Official association news; strict filter keeps robotics statistics, strategy and standards.</x:v>
      </x:c>
      <x:c r="L252" s="142" t="str">
        <x:v>A</x:v>
      </x:c>
      <x:c r="M252" s="142" t="str">
        <x:v>Daily</x:v>
      </x:c>
      <x:c r="N252" s="143" t="str">
        <x:v>Robotics | Artificial Intelligence</x:v>
      </x:c>
    </x:row>
    <x:row r="253">
      <x:c r="A253" s="142" t="str">
        <x:v>Yes</x:v>
      </x:c>
      <x:c r="B253" s="143" t="str">
        <x:v>Asia</x:v>
      </x:c>
      <x:c r="C253" s="143" t="str">
        <x:v>Japan</x:v>
      </x:c>
      <x:c r="D253" s="143" t="str">
        <x:v>Biotechnology, bioeconomy, industrial strategy and policy</x:v>
      </x:c>
      <x:c r="E253" s="143" t="str">
        <x:v>日本バイオ産業人会議</x:v>
      </x:c>
      <x:c r="F253" s="143" t="str">
        <x:v>Japan Association of Bioindustries Executives</x:v>
      </x:c>
      <x:c r="G253" s="143" t="str">
        <x:v>https://jabex.jp/category/news/</x:v>
      </x:c>
      <x:c r="H253" s="143" t="str">
        <x:v>https://jabex.jp/</x:v>
      </x:c>
      <x:c r="I253" s="142" t="n">
        <x:v>4</x:v>
      </x:c>
      <x:c r="J253" s="142" t="str">
        <x:v>No</x:v>
      </x:c>
      <x:c r="K253" s="143" t="str">
        <x:v>Official JABEX updates focused on bioeconomy strategy and policy recommendations.</x:v>
      </x:c>
      <x:c r="L253" s="142" t="str">
        <x:v>A</x:v>
      </x:c>
      <x:c r="M253" s="142" t="str">
        <x:v>Daily</x:v>
      </x:c>
      <x:c r="N253" s="143" t="str">
        <x:v>Biotechnology</x:v>
      </x:c>
    </x:row>
    <x:row r="254">
      <x:c r="A254" s="142" t="str">
        <x:v>Yes</x:v>
      </x:c>
      <x:c r="B254" s="143" t="str">
        <x:v>Asia</x:v>
      </x:c>
      <x:c r="C254" s="143" t="str">
        <x:v>Japan</x:v>
      </x:c>
      <x:c r="D254" s="143" t="str">
        <x:v>Biotechnology, industry policy, regulation and innovation ecosystem</x:v>
      </x:c>
      <x:c r="E254" s="143" t="str">
        <x:v>バイオインダストリー協会</x:v>
      </x:c>
      <x:c r="F254" s="143" t="str">
        <x:v>Japan Bioindustry Association</x:v>
      </x:c>
      <x:c r="G254" s="143" t="str">
        <x:v>https://www.jba.or.jp/jba_info/</x:v>
      </x:c>
      <x:c r="H254" s="143" t="str">
        <x:v>https://www.jba.or.jp/</x:v>
      </x:c>
      <x:c r="I254" s="142" t="n">
        <x:v>4</x:v>
      </x:c>
      <x:c r="J254" s="142" t="str">
        <x:v>No</x:v>
      </x:c>
      <x:c r="K254" s="143" t="str">
        <x:v>Official JBA updates; strict filter removes member discounts, seminars and copied ministry notices.</x:v>
      </x:c>
      <x:c r="L254" s="142" t="str">
        <x:v>A</x:v>
      </x:c>
      <x:c r="M254" s="142" t="str">
        <x:v>Daily</x:v>
      </x:c>
      <x:c r="N254" s="143" t="str">
        <x:v>Biotechnology | Healthcare</x:v>
      </x:c>
    </x:row>
    <x:row r="255">
      <x:c r="A255" s="142" t="str">
        <x:v>Yes</x:v>
      </x:c>
      <x:c r="B255" s="143" t="str">
        <x:v>Asia</x:v>
      </x:c>
      <x:c r="C255" s="143" t="str">
        <x:v>Japan</x:v>
      </x:c>
      <x:c r="D255" s="143" t="str">
        <x:v>Drug R&amp;D, biotechnology, healthcare policy, regulation and intellectual property</x:v>
      </x:c>
      <x:c r="E255" s="143" t="str">
        <x:v>日本製薬工業協会</x:v>
      </x:c>
      <x:c r="F255" s="143" t="str">
        <x:v>Japan Pharmaceutical Manufacturers Association</x:v>
      </x:c>
      <x:c r="G255" s="143" t="str">
        <x:v>https://www.jpma.or.jp/news_room/release/index.html</x:v>
      </x:c>
      <x:c r="H255" s="143" t="str">
        <x:v>https://www.jpma.or.jp/</x:v>
      </x:c>
      <x:c r="I255" s="142" t="n">
        <x:v>4</x:v>
      </x:c>
      <x:c r="J255" s="142" t="str">
        <x:v>No</x:v>
      </x:c>
      <x:c r="K255" s="143" t="str">
        <x:v>Official JPMA releases; strict filter keeps R&amp;D, regulatory, IP and innovation-policy developments.</x:v>
      </x:c>
      <x:c r="L255" s="142" t="str">
        <x:v>A</x:v>
      </x:c>
      <x:c r="M255" s="142" t="str">
        <x:v>Daily</x:v>
      </x:c>
      <x:c r="N255" s="143" t="str">
        <x:v>Biotechnology | Healthcare</x:v>
      </x:c>
    </x:row>
    <x:row r="256">
      <x:c r="A256" s="142" t="str">
        <x:v>Yes</x:v>
      </x:c>
      <x:c r="B256" s="143" t="str">
        <x:v>Asia</x:v>
      </x:c>
      <x:c r="C256" s="143" t="str">
        <x:v>Japan</x:v>
      </x:c>
      <x:c r="D256" s="143" t="str">
        <x:v>Medical devices, SaMD, AI, regulation, standards and healthcare innovation policy</x:v>
      </x:c>
      <x:c r="E256" s="143" t="str">
        <x:v>日本医療機器産業連合会</x:v>
      </x:c>
      <x:c r="F256" s="143" t="str">
        <x:v>Japan Federation of Medical Devices Associations</x:v>
      </x:c>
      <x:c r="G256" s="143" t="str">
        <x:v>https://www.jfmda.gr.jp/news/</x:v>
      </x:c>
      <x:c r="H256" s="143" t="str">
        <x:v>https://www.jfmda.gr.jp/</x:v>
      </x:c>
      <x:c r="I256" s="142" t="n">
        <x:v>4</x:v>
      </x:c>
      <x:c r="J256" s="142" t="str">
        <x:v>No</x:v>
      </x:c>
      <x:c r="K256" s="143" t="str">
        <x:v>Official JFMDA news; strict filter keeps medical-technology strategy, R&amp;D data, SaMD and regulation.</x:v>
      </x:c>
      <x:c r="L256" s="142" t="str">
        <x:v>A</x:v>
      </x:c>
      <x:c r="M256" s="142" t="str">
        <x:v>Daily</x:v>
      </x:c>
      <x:c r="N256" s="143" t="str">
        <x:v>Healthcare | Artificial Intelligence | Robotics</x:v>
      </x:c>
    </x:row>
    <x:row r="257">
      <x:c r="A257" s="142" t="str">
        <x:v>Yes</x:v>
      </x:c>
      <x:c r="B257" s="143" t="str">
        <x:v>Asia</x:v>
      </x:c>
      <x:c r="C257" s="143" t="str">
        <x:v>Japan</x:v>
      </x:c>
      <x:c r="D257" s="143" t="str">
        <x:v>Space and aerospace industry strategy, standards, supply chains and industrial data</x:v>
      </x:c>
      <x:c r="E257" s="143" t="str">
        <x:v>日本航空宇宙工業会</x:v>
      </x:c>
      <x:c r="F257" s="143" t="str">
        <x:v>Society of Japanese Aerospace Companies</x:v>
      </x:c>
      <x:c r="G257" s="143" t="str">
        <x:v>https://www.sjac.or.jp/news/</x:v>
      </x:c>
      <x:c r="H257" s="143" t="str">
        <x:v>https://www.sjac.or.jp/</x:v>
      </x:c>
      <x:c r="I257" s="142" t="n">
        <x:v>4</x:v>
      </x:c>
      <x:c r="J257" s="142" t="str">
        <x:v>No</x:v>
      </x:c>
      <x:c r="K257" s="143" t="str">
        <x:v>Official SJAC news; strict filter removes routine events and association administration.</x:v>
      </x:c>
      <x:c r="L257" s="142" t="str">
        <x:v>A</x:v>
      </x:c>
      <x:c r="M257" s="142" t="str">
        <x:v>Daily</x:v>
      </x:c>
      <x:c r="N257" s="143" t="str">
        <x:v>Space</x:v>
      </x:c>
    </x:row>
    <x:row r="258">
      <x:c r="A258" s="142" t="str">
        <x:v>Yes</x:v>
      </x:c>
      <x:c r="B258" s="143" t="str">
        <x:v>Asia</x:v>
      </x:c>
      <x:c r="C258" s="143" t="str">
        <x:v>Japan</x:v>
      </x:c>
      <x:c r="D258" s="143" t="str">
        <x:v>Space R&amp;D, remote sensing, GNSS, funding and commercialization</x:v>
      </x:c>
      <x:c r="E258" s="143" t="str">
        <x:v>Japan Space Systems</x:v>
      </x:c>
      <x:c r="F258" s="143" t="str">
        <x:v>Japan Space Systems</x:v>
      </x:c>
      <x:c r="G258" s="143" t="str">
        <x:v>https://www.jspacesystems.or.jp/news/</x:v>
      </x:c>
      <x:c r="H258" s="143" t="str">
        <x:v>https://www.jspacesystems.or.jp/</x:v>
      </x:c>
      <x:c r="I258" s="142" t="n">
        <x:v>4</x:v>
      </x:c>
      <x:c r="J258" s="142" t="str">
        <x:v>No</x:v>
      </x:c>
      <x:c r="K258" s="143" t="str">
        <x:v>Official updates for space R&amp;D, results, calls and implementation.</x:v>
      </x:c>
      <x:c r="L258" s="142" t="str">
        <x:v>A</x:v>
      </x:c>
      <x:c r="M258" s="142" t="str">
        <x:v>Daily</x:v>
      </x:c>
      <x:c r="N258" s="143" t="str">
        <x:v>Space | Semiconductors &amp; Telecom</x:v>
      </x:c>
    </x:row>
    <x:row r="259">
      <x:c r="A259" s="142" t="str">
        <x:v>Yes</x:v>
      </x:c>
      <x:c r="B259" s="143" t="str">
        <x:v>Asia</x:v>
      </x:c>
      <x:c r="C259" s="143" t="str">
        <x:v>Japan</x:v>
      </x:c>
      <x:c r="D259" s="143" t="str">
        <x:v>AI governance, standards, industrial implementation and policy</x:v>
      </x:c>
      <x:c r="E259" s="143" t="str">
        <x:v>日本ディープラーニング協会</x:v>
      </x:c>
      <x:c r="F259" s="143" t="str">
        <x:v>Japan Deep Learning Association</x:v>
      </x:c>
      <x:c r="G259" s="143" t="str">
        <x:v>https://www.jdla.org/news/</x:v>
      </x:c>
      <x:c r="H259" s="143" t="str">
        <x:v>https://www.jdla.org/</x:v>
      </x:c>
      <x:c r="I259" s="142" t="n">
        <x:v>4</x:v>
      </x:c>
      <x:c r="J259" s="142" t="str">
        <x:v>No</x:v>
      </x:c>
      <x:c r="K259" s="143" t="str">
        <x:v>Official JDLA updates; very strict filter removes certification, courses and routine events.</x:v>
      </x:c>
      <x:c r="L259" s="142" t="str">
        <x:v>A</x:v>
      </x:c>
      <x:c r="M259" s="142" t="str">
        <x:v>Daily</x:v>
      </x:c>
      <x:c r="N259" s="143" t="str">
        <x:v>Artificial Intelligence</x:v>
      </x:c>
    </x:row>
    <x:row r="260">
      <x:c r="A260" s="142" t="str">
        <x:v>Yes</x:v>
      </x:c>
      <x:c r="B260" s="143" t="str">
        <x:v>Global</x:v>
      </x:c>
      <x:c r="C260" s="143" t="str">
        <x:v>Global</x:v>
      </x:c>
      <x:c r="D260" s="143" t="str">
        <x:v>Scholarly research</x:v>
      </x:c>
      <x:c r="E260" s="143" t="str">
        <x:v>OpenAlex Journal Articles</x:v>
      </x:c>
      <x:c r="F260" s="143" t="str">
        <x:v>OpenAlex</x:v>
      </x:c>
      <x:c r="G260" s="143" t="str">
        <x:v>https://api.openalex.org/works</x:v>
      </x:c>
      <x:c r="H260" s="143" t="str">
        <x:v>https://openalex.org/</x:v>
      </x:c>
      <x:c r="I260" s="142" t="n">
        <x:v>4</x:v>
      </x:c>
      <x:c r="J260" s="142" t="str">
        <x:v>No</x:v>
      </x:c>
      <x:c r="K260" s="143" t="str">
        <x:v>Scholarly metadata discovery. The card links to the DOI or OpenAlex record; peer-review status must be confirmed on the publisher page.</x:v>
      </x:c>
      <x:c r="L260" s="142" t="str">
        <x:v>A</x:v>
      </x:c>
      <x:c r="M260" s="142" t="str">
        <x:v>Daily</x:v>
      </x:c>
      <x:c r="N260" s="143" t="str"/>
    </x:row>
    <x:row r="261">
      <x:c r="A261" s="142" t="str">
        <x:v>Yes</x:v>
      </x:c>
      <x:c r="B261" s="143" t="str">
        <x:v>Global</x:v>
      </x:c>
      <x:c r="C261" s="143" t="str">
        <x:v>Global</x:v>
      </x:c>
      <x:c r="D261" s="143" t="str">
        <x:v>Conference proceedings</x:v>
      </x:c>
      <x:c r="E261" s="143" t="str">
        <x:v>OpenAlex Conference Papers</x:v>
      </x:c>
      <x:c r="F261" s="143" t="str">
        <x:v>OpenAlex</x:v>
      </x:c>
      <x:c r="G261" s="143" t="str">
        <x:v>https://api.openalex.org/works</x:v>
      </x:c>
      <x:c r="H261" s="143" t="str">
        <x:v>https://openalex.org/</x:v>
      </x:c>
      <x:c r="I261" s="142" t="n">
        <x:v>4</x:v>
      </x:c>
      <x:c r="J261" s="142" t="str">
        <x:v>No</x:v>
      </x:c>
      <x:c r="K261" s="143" t="str">
        <x:v>Official proceedings and conference-paper records discovered through OpenAlex. Review status varies by venue.</x:v>
      </x:c>
      <x:c r="L261" s="142" t="str">
        <x:v>A</x:v>
      </x:c>
      <x:c r="M261" s="142" t="str">
        <x:v>Daily</x:v>
      </x:c>
      <x:c r="N261" s="143" t="str"/>
    </x:row>
    <x:row r="262">
      <x:c r="A262" s="142" t="str">
        <x:v>Yes</x:v>
      </x:c>
      <x:c r="B262" s="143" t="str">
        <x:v>Global</x:v>
      </x:c>
      <x:c r="C262" s="143" t="str">
        <x:v>Global</x:v>
      </x:c>
      <x:c r="D262" s="143" t="str">
        <x:v>Preprints</x:v>
      </x:c>
      <x:c r="E262" s="143" t="str">
        <x:v>OpenAlex Preprints</x:v>
      </x:c>
      <x:c r="F262" s="143" t="str">
        <x:v>OpenAlex</x:v>
      </x:c>
      <x:c r="G262" s="143" t="str">
        <x:v>https://api.openalex.org/works</x:v>
      </x:c>
      <x:c r="H262" s="143" t="str">
        <x:v>https://openalex.org/</x:v>
      </x:c>
      <x:c r="I262" s="142" t="n">
        <x:v>3</x:v>
      </x:c>
      <x:c r="J262" s="142" t="str">
        <x:v>No</x:v>
      </x:c>
      <x:c r="K262" s="143" t="str">
        <x:v>Preprints are displayed separately and must never be described as peer reviewed.</x:v>
      </x:c>
      <x:c r="L262" s="142" t="str">
        <x:v>B</x:v>
      </x:c>
      <x:c r="M262" s="142" t="str">
        <x:v>Weekly</x:v>
      </x:c>
      <x:c r="N262" s="143" t="str"/>
    </x:row>
  </x:sheetData>
  <x:mergeCells>
    <x:mergeCell ref="A1:N1"/>
    <x:mergeCell ref="A2:N2"/>
  </x:mergeCells>
  <x:dataValidations count="1">
    <x:dataValidation type="list" allowBlank="0" showDropDown="0" showInputMessage="0" showErrorMessage="0" sqref="A4:A37">
      <x:formula1>"Yes,No"</x:formula1>
    </x:dataValidation>
  </x:dataValidations>
  <x:hyperlinks>
    <x:hyperlink xmlns:r="http://schemas.openxmlformats.org/officeDocument/2006/relationships" ref="G4" r:id="Re5c42c1c0ae5475a"/>
    <x:hyperlink xmlns:r="http://schemas.openxmlformats.org/officeDocument/2006/relationships" ref="H4" r:id="R2f968556f92a494e"/>
    <x:hyperlink xmlns:r="http://schemas.openxmlformats.org/officeDocument/2006/relationships" ref="G5" r:id="R6cc295eb298542f3"/>
    <x:hyperlink xmlns:r="http://schemas.openxmlformats.org/officeDocument/2006/relationships" ref="H5" r:id="R103a38dde6e440b5"/>
    <x:hyperlink xmlns:r="http://schemas.openxmlformats.org/officeDocument/2006/relationships" ref="G6" r:id="R34bc1d7f6086434c"/>
    <x:hyperlink xmlns:r="http://schemas.openxmlformats.org/officeDocument/2006/relationships" ref="H6" r:id="R11d9c57c8af94ca6"/>
    <x:hyperlink xmlns:r="http://schemas.openxmlformats.org/officeDocument/2006/relationships" ref="G7" r:id="Rdb71533863e44b0e"/>
    <x:hyperlink xmlns:r="http://schemas.openxmlformats.org/officeDocument/2006/relationships" ref="H7" r:id="Rd0492057ed484c8f"/>
    <x:hyperlink xmlns:r="http://schemas.openxmlformats.org/officeDocument/2006/relationships" ref="G8" r:id="R572a376cbcff4be4"/>
    <x:hyperlink xmlns:r="http://schemas.openxmlformats.org/officeDocument/2006/relationships" ref="H8" r:id="R60da5ca748f74424"/>
    <x:hyperlink xmlns:r="http://schemas.openxmlformats.org/officeDocument/2006/relationships" ref="G9" r:id="Rc5975e88c6224b40"/>
    <x:hyperlink xmlns:r="http://schemas.openxmlformats.org/officeDocument/2006/relationships" ref="H9" r:id="R2f66cd86fdf344cc"/>
    <x:hyperlink xmlns:r="http://schemas.openxmlformats.org/officeDocument/2006/relationships" ref="G10" r:id="Rcc2e2c8310544d14"/>
    <x:hyperlink xmlns:r="http://schemas.openxmlformats.org/officeDocument/2006/relationships" ref="H10" r:id="R72e47a8a6c7b4b78"/>
    <x:hyperlink xmlns:r="http://schemas.openxmlformats.org/officeDocument/2006/relationships" ref="G11" r:id="Ra38a494dad924ad3"/>
    <x:hyperlink xmlns:r="http://schemas.openxmlformats.org/officeDocument/2006/relationships" ref="H11" r:id="R5d7722b1f45845a7"/>
    <x:hyperlink xmlns:r="http://schemas.openxmlformats.org/officeDocument/2006/relationships" ref="G12" r:id="R2c81fd2f41734003"/>
    <x:hyperlink xmlns:r="http://schemas.openxmlformats.org/officeDocument/2006/relationships" ref="H12" r:id="Rcb82baf8e9f64f0d"/>
    <x:hyperlink xmlns:r="http://schemas.openxmlformats.org/officeDocument/2006/relationships" ref="G13" r:id="R28d5ee261fbc4121"/>
    <x:hyperlink xmlns:r="http://schemas.openxmlformats.org/officeDocument/2006/relationships" ref="H13" r:id="Rc5134036ac4c45fe"/>
    <x:hyperlink xmlns:r="http://schemas.openxmlformats.org/officeDocument/2006/relationships" ref="G14" r:id="R5eb02ced64c64dac"/>
    <x:hyperlink xmlns:r="http://schemas.openxmlformats.org/officeDocument/2006/relationships" ref="H14" r:id="R215b13098ff947dc"/>
    <x:hyperlink xmlns:r="http://schemas.openxmlformats.org/officeDocument/2006/relationships" ref="G15" r:id="R99e5cf77120b4951"/>
    <x:hyperlink xmlns:r="http://schemas.openxmlformats.org/officeDocument/2006/relationships" ref="H15" r:id="R8cd846e0f1144b44"/>
    <x:hyperlink xmlns:r="http://schemas.openxmlformats.org/officeDocument/2006/relationships" ref="G16" r:id="R1f40b3bf570b42e7"/>
    <x:hyperlink xmlns:r="http://schemas.openxmlformats.org/officeDocument/2006/relationships" ref="H16" r:id="R9fc91cd9fc0f48ca"/>
    <x:hyperlink xmlns:r="http://schemas.openxmlformats.org/officeDocument/2006/relationships" ref="G17" r:id="R2ac10f31fb27442a"/>
    <x:hyperlink xmlns:r="http://schemas.openxmlformats.org/officeDocument/2006/relationships" ref="H17" r:id="Red3fb85530774fff"/>
    <x:hyperlink xmlns:r="http://schemas.openxmlformats.org/officeDocument/2006/relationships" ref="G18" r:id="R2b5d78a4373545e0"/>
    <x:hyperlink xmlns:r="http://schemas.openxmlformats.org/officeDocument/2006/relationships" ref="H18" r:id="R5dba17b827834b52"/>
    <x:hyperlink xmlns:r="http://schemas.openxmlformats.org/officeDocument/2006/relationships" ref="G19" r:id="R69ade0a8df644486"/>
    <x:hyperlink xmlns:r="http://schemas.openxmlformats.org/officeDocument/2006/relationships" ref="H19" r:id="Rc12787e1673d4429"/>
    <x:hyperlink xmlns:r="http://schemas.openxmlformats.org/officeDocument/2006/relationships" ref="G20" r:id="R2be8a341fa644c18"/>
    <x:hyperlink xmlns:r="http://schemas.openxmlformats.org/officeDocument/2006/relationships" ref="H20" r:id="R1a7ffd5c856e4b85"/>
    <x:hyperlink xmlns:r="http://schemas.openxmlformats.org/officeDocument/2006/relationships" ref="G21" r:id="R80366fc620f84811"/>
    <x:hyperlink xmlns:r="http://schemas.openxmlformats.org/officeDocument/2006/relationships" ref="H21" r:id="Re520fcc070e245bb"/>
    <x:hyperlink xmlns:r="http://schemas.openxmlformats.org/officeDocument/2006/relationships" ref="G22" r:id="R64e16e503e644de1"/>
    <x:hyperlink xmlns:r="http://schemas.openxmlformats.org/officeDocument/2006/relationships" ref="H22" r:id="Rb900d40b4917437e"/>
    <x:hyperlink xmlns:r="http://schemas.openxmlformats.org/officeDocument/2006/relationships" ref="G23" r:id="R7e52d9f901544c5d"/>
    <x:hyperlink xmlns:r="http://schemas.openxmlformats.org/officeDocument/2006/relationships" ref="H23" r:id="R803bb1d16d2e43c0"/>
    <x:hyperlink xmlns:r="http://schemas.openxmlformats.org/officeDocument/2006/relationships" ref="G24" r:id="R5c8ed6ed7a034034"/>
    <x:hyperlink xmlns:r="http://schemas.openxmlformats.org/officeDocument/2006/relationships" ref="H24" r:id="R777a1392f58b4836"/>
    <x:hyperlink xmlns:r="http://schemas.openxmlformats.org/officeDocument/2006/relationships" ref="G25" r:id="Rcafd96cfa99b4490"/>
    <x:hyperlink xmlns:r="http://schemas.openxmlformats.org/officeDocument/2006/relationships" ref="H25" r:id="R5c12f668667c48ff"/>
    <x:hyperlink xmlns:r="http://schemas.openxmlformats.org/officeDocument/2006/relationships" ref="G26" r:id="R6eefdf4ecaf048a8"/>
    <x:hyperlink xmlns:r="http://schemas.openxmlformats.org/officeDocument/2006/relationships" ref="H26" r:id="R1ef2b99f15884eb7"/>
    <x:hyperlink xmlns:r="http://schemas.openxmlformats.org/officeDocument/2006/relationships" ref="G27" r:id="Rcd4e51736e994ce8"/>
    <x:hyperlink xmlns:r="http://schemas.openxmlformats.org/officeDocument/2006/relationships" ref="H27" r:id="Rd742f66351ec440d"/>
    <x:hyperlink xmlns:r="http://schemas.openxmlformats.org/officeDocument/2006/relationships" ref="G28" r:id="R7fa8cacc06a44171"/>
    <x:hyperlink xmlns:r="http://schemas.openxmlformats.org/officeDocument/2006/relationships" ref="H28" r:id="Rdad7778b59cd48d5"/>
    <x:hyperlink xmlns:r="http://schemas.openxmlformats.org/officeDocument/2006/relationships" ref="G29" r:id="R1a134c5f6f094c66"/>
    <x:hyperlink xmlns:r="http://schemas.openxmlformats.org/officeDocument/2006/relationships" ref="H29" r:id="Red76db8f472a4b18"/>
    <x:hyperlink xmlns:r="http://schemas.openxmlformats.org/officeDocument/2006/relationships" ref="G30" r:id="R66af9d6605df4169"/>
    <x:hyperlink xmlns:r="http://schemas.openxmlformats.org/officeDocument/2006/relationships" ref="H30" r:id="R7e851963f0524c07"/>
    <x:hyperlink xmlns:r="http://schemas.openxmlformats.org/officeDocument/2006/relationships" ref="G31" r:id="Ra75d13c4f5e6445f"/>
    <x:hyperlink xmlns:r="http://schemas.openxmlformats.org/officeDocument/2006/relationships" ref="H31" r:id="R8468e2b38b12453b"/>
    <x:hyperlink xmlns:r="http://schemas.openxmlformats.org/officeDocument/2006/relationships" ref="G32" r:id="Rf8c0eae48be34672"/>
    <x:hyperlink xmlns:r="http://schemas.openxmlformats.org/officeDocument/2006/relationships" ref="H32" r:id="R40c908e67daa4988"/>
    <x:hyperlink xmlns:r="http://schemas.openxmlformats.org/officeDocument/2006/relationships" ref="G33" r:id="R3deba669a0e5462a"/>
    <x:hyperlink xmlns:r="http://schemas.openxmlformats.org/officeDocument/2006/relationships" ref="H33" r:id="R28a5d45cecfb435f"/>
    <x:hyperlink xmlns:r="http://schemas.openxmlformats.org/officeDocument/2006/relationships" ref="G34" r:id="Reeb7b4f3d1144167"/>
    <x:hyperlink xmlns:r="http://schemas.openxmlformats.org/officeDocument/2006/relationships" ref="H34" r:id="Rb54e21af05a74954"/>
    <x:hyperlink xmlns:r="http://schemas.openxmlformats.org/officeDocument/2006/relationships" ref="G35" r:id="Rc98c8034840142ff"/>
    <x:hyperlink xmlns:r="http://schemas.openxmlformats.org/officeDocument/2006/relationships" ref="H35" r:id="Rc9fdca010533456b"/>
    <x:hyperlink xmlns:r="http://schemas.openxmlformats.org/officeDocument/2006/relationships" ref="G36" r:id="R3c287f5ed29048fb"/>
    <x:hyperlink xmlns:r="http://schemas.openxmlformats.org/officeDocument/2006/relationships" ref="H36" r:id="R7c64290d60b244c4"/>
    <x:hyperlink xmlns:r="http://schemas.openxmlformats.org/officeDocument/2006/relationships" ref="G37" r:id="R7e5579255e0844f2"/>
    <x:hyperlink xmlns:r="http://schemas.openxmlformats.org/officeDocument/2006/relationships" ref="H37" r:id="Rcc30037e007f4b3d"/>
    <x:hyperlink xmlns:r="http://schemas.openxmlformats.org/officeDocument/2006/relationships" ref="G38" r:id="R8fa48a93ae9f4503"/>
    <x:hyperlink xmlns:r="http://schemas.openxmlformats.org/officeDocument/2006/relationships" ref="H38" r:id="R10438bc317e04353"/>
    <x:hyperlink xmlns:r="http://schemas.openxmlformats.org/officeDocument/2006/relationships" ref="G39" r:id="Rbc8d46c3433d40d5"/>
    <x:hyperlink xmlns:r="http://schemas.openxmlformats.org/officeDocument/2006/relationships" ref="H39" r:id="R3f189240915e4f55"/>
    <x:hyperlink xmlns:r="http://schemas.openxmlformats.org/officeDocument/2006/relationships" ref="G40" r:id="Rd3bdd7a7a01e47d6"/>
    <x:hyperlink xmlns:r="http://schemas.openxmlformats.org/officeDocument/2006/relationships" ref="H40" r:id="R8308b62543cd41b0"/>
    <x:hyperlink xmlns:r="http://schemas.openxmlformats.org/officeDocument/2006/relationships" ref="G41" r:id="R6eac7b605b6c474f"/>
    <x:hyperlink xmlns:r="http://schemas.openxmlformats.org/officeDocument/2006/relationships" ref="H41" r:id="R55c22971ded64558"/>
    <x:hyperlink xmlns:r="http://schemas.openxmlformats.org/officeDocument/2006/relationships" ref="G42" r:id="R12bcf3c2e5fa4b58"/>
    <x:hyperlink xmlns:r="http://schemas.openxmlformats.org/officeDocument/2006/relationships" ref="H42" r:id="R90b99ad1bc7841de"/>
    <x:hyperlink xmlns:r="http://schemas.openxmlformats.org/officeDocument/2006/relationships" ref="G43" r:id="R49d23da1a9624c94"/>
    <x:hyperlink xmlns:r="http://schemas.openxmlformats.org/officeDocument/2006/relationships" ref="H43" r:id="Re0cda6d5bcc94816"/>
    <x:hyperlink xmlns:r="http://schemas.openxmlformats.org/officeDocument/2006/relationships" ref="G44" r:id="R92d2a7925e4e4ef3"/>
    <x:hyperlink xmlns:r="http://schemas.openxmlformats.org/officeDocument/2006/relationships" ref="H44" r:id="R8f27b08bab0a42f7"/>
    <x:hyperlink xmlns:r="http://schemas.openxmlformats.org/officeDocument/2006/relationships" ref="G45" r:id="Rea4dec90fe624be8"/>
    <x:hyperlink xmlns:r="http://schemas.openxmlformats.org/officeDocument/2006/relationships" ref="H45" r:id="R0e7c719f8eb6464e"/>
    <x:hyperlink xmlns:r="http://schemas.openxmlformats.org/officeDocument/2006/relationships" ref="G46" r:id="R043407e9379645e1"/>
    <x:hyperlink xmlns:r="http://schemas.openxmlformats.org/officeDocument/2006/relationships" ref="H46" r:id="R1989a0ca56f14912"/>
    <x:hyperlink xmlns:r="http://schemas.openxmlformats.org/officeDocument/2006/relationships" ref="G47" r:id="Rbdcaa49c81bd4e17"/>
    <x:hyperlink xmlns:r="http://schemas.openxmlformats.org/officeDocument/2006/relationships" ref="H47" r:id="Rd35e876a80ee46a0"/>
    <x:hyperlink xmlns:r="http://schemas.openxmlformats.org/officeDocument/2006/relationships" ref="G48" r:id="R4b42798d205f492c"/>
    <x:hyperlink xmlns:r="http://schemas.openxmlformats.org/officeDocument/2006/relationships" ref="H48" r:id="Ra18156401edc4cac"/>
    <x:hyperlink xmlns:r="http://schemas.openxmlformats.org/officeDocument/2006/relationships" ref="G49" r:id="Rca7c1918681c42af"/>
    <x:hyperlink xmlns:r="http://schemas.openxmlformats.org/officeDocument/2006/relationships" ref="H49" r:id="Rf1bc576a577a4dd9"/>
    <x:hyperlink xmlns:r="http://schemas.openxmlformats.org/officeDocument/2006/relationships" ref="G50" r:id="Rbc87f6325f834993"/>
    <x:hyperlink xmlns:r="http://schemas.openxmlformats.org/officeDocument/2006/relationships" ref="H50" r:id="R12a842a650c04757"/>
    <x:hyperlink xmlns:r="http://schemas.openxmlformats.org/officeDocument/2006/relationships" ref="G51" r:id="R2158f5a769bb44b4"/>
    <x:hyperlink xmlns:r="http://schemas.openxmlformats.org/officeDocument/2006/relationships" ref="H51" r:id="R5e67a1fabfb4424f"/>
    <x:hyperlink xmlns:r="http://schemas.openxmlformats.org/officeDocument/2006/relationships" ref="G52" r:id="R74a1065bec1b4033"/>
    <x:hyperlink xmlns:r="http://schemas.openxmlformats.org/officeDocument/2006/relationships" ref="H52" r:id="R8480d9c1009f4042"/>
    <x:hyperlink xmlns:r="http://schemas.openxmlformats.org/officeDocument/2006/relationships" ref="G53" r:id="Reef04a0ba5cb4567"/>
    <x:hyperlink xmlns:r="http://schemas.openxmlformats.org/officeDocument/2006/relationships" ref="H53" r:id="R9819507ac1f54301"/>
    <x:hyperlink xmlns:r="http://schemas.openxmlformats.org/officeDocument/2006/relationships" ref="G54" r:id="R00e896ddeb014758"/>
    <x:hyperlink xmlns:r="http://schemas.openxmlformats.org/officeDocument/2006/relationships" ref="H54" r:id="Rbd0c3ec469ea49ae"/>
    <x:hyperlink xmlns:r="http://schemas.openxmlformats.org/officeDocument/2006/relationships" ref="G55" r:id="R1f78cf88af9d495f"/>
    <x:hyperlink xmlns:r="http://schemas.openxmlformats.org/officeDocument/2006/relationships" ref="H55" r:id="R2af89780e851446c"/>
    <x:hyperlink xmlns:r="http://schemas.openxmlformats.org/officeDocument/2006/relationships" ref="G56" r:id="Ra435520d827a4f47"/>
    <x:hyperlink xmlns:r="http://schemas.openxmlformats.org/officeDocument/2006/relationships" ref="H56" r:id="Radc3ea1dca7949ea"/>
    <x:hyperlink xmlns:r="http://schemas.openxmlformats.org/officeDocument/2006/relationships" ref="G57" r:id="R3a3cc821ec8444b2"/>
    <x:hyperlink xmlns:r="http://schemas.openxmlformats.org/officeDocument/2006/relationships" ref="H57" r:id="R1316bef565b941c6"/>
    <x:hyperlink xmlns:r="http://schemas.openxmlformats.org/officeDocument/2006/relationships" ref="G58" r:id="R4af4201fea5a4ee4"/>
    <x:hyperlink xmlns:r="http://schemas.openxmlformats.org/officeDocument/2006/relationships" ref="H58" r:id="Rfbe8a2e31b5b4104"/>
  </x:hyperlinks>
  <x:pageMargins left="0.7" right="0.7" top="0.75" bottom="0.75" header="0.3" footer="0.3"/>
  <x:tableParts count="1">
    <x:tablePart xmlns:r="http://schemas.openxmlformats.org/officeDocument/2006/relationships" r:id="Rf2ceab26d01149db"/>
  </x:tableParts>
</x:worksheet>
</file>

<file path=xl/worksheets/sheet4.xml><?xml version="1.0" encoding="utf-8"?>
<x:worksheet xmlns:x="http://schemas.openxmlformats.org/spreadsheetml/2006/main">
  <x:sheetViews>
    <x:sheetView showGridLines="0" workbookViewId="0"/>
  </x:sheetViews>
  <x:sheetFormatPr baseColWidth="8" defaultRowHeight="15"/>
  <x:cols>
    <x:col min="1" max="1" width="22" customWidth="1"/>
    <x:col min="2" max="2" width="16" customWidth="1"/>
    <x:col min="3" max="3" width="18" customWidth="1"/>
    <x:col min="4" max="4" width="14" customWidth="1"/>
    <x:col min="5" max="5" width="20" customWidth="1"/>
    <x:col min="6" max="6" width="14" customWidth="1"/>
    <x:col min="7" max="7" width="16" customWidth="1"/>
    <x:col min="8" max="8" width="34" customWidth="1"/>
  </x:cols>
  <x:sheetData>
    <x:row r="1" ht="34" customHeight="1">
      <x:c r="A1" s="4" t="inlineStr">
        <x:is>
          <x:t xml:space="preserve">Run Log</x:t>
        </x:is>
      </x:c>
    </x:row>
    <x:row r="2" ht="25" customHeight="1">
      <x:c r="A2" s="67" t="inlineStr">
        <x:is>
          <x:t xml:space="preserve">Daily collection results; one failed feed never stops the remaining sources</x:t>
        </x:is>
      </x:c>
      <x:c r="B2" s="68" t="n"/>
      <x:c r="C2" s="68" t="n"/>
      <x:c r="D2" s="68" t="n"/>
      <x:c r="E2" s="68" t="n"/>
      <x:c r="F2" s="68" t="n"/>
      <x:c r="G2" s="68" t="n"/>
      <x:c r="H2" s="69" t="n"/>
    </x:row>
    <x:row r="3" ht="31" customHeight="1">
      <x:c r="A3" s="57" t="inlineStr">
        <x:is>
          <x:t xml:space="preserve">Run Time (JST)</x:t>
        </x:is>
      </x:c>
      <x:c r="B3" s="58" t="inlineStr">
        <x:is>
          <x:t xml:space="preserve">Feeds Checked</x:t>
        </x:is>
      </x:c>
      <x:c r="C3" s="58" t="inlineStr">
        <x:is>
          <x:t xml:space="preserve">Feeds Succeeded</x:t>
        </x:is>
      </x:c>
      <x:c r="D3" s="58" t="inlineStr">
        <x:is>
          <x:t xml:space="preserve">New Items</x:t>
        </x:is>
      </x:c>
      <x:c r="E3" s="58" t="inlineStr">
        <x:is>
          <x:t xml:space="preserve">Duplicates Skipped</x:t>
        </x:is>
      </x:c>
      <x:c r="F3" s="58" t="inlineStr">
        <x:is>
          <x:t xml:space="preserve">Feed Errors</x:t>
        </x:is>
      </x:c>
      <x:c r="G3" s="58" t="inlineStr">
        <x:is>
          <x:t xml:space="preserve">Duration (sec)</x:t>
        </x:is>
      </x:c>
      <x:c r="H3" s="59" t="inlineStr">
        <x:is>
          <x:t xml:space="preserve">Note</x:t>
        </x:is>
      </x:c>
    </x:row>
    <x:row r="4" ht="42" customHeight="1">
      <x:c r="A4" s="75" t="inlineStr">
        <x:is>
          <x:t xml:space="preserve">2026-07-26T22:54:37+09:00</x:t>
        </x:is>
      </x:c>
      <x:c r="B4" s="77" t="n">
        <x:v>55</x:v>
      </x:c>
      <x:c r="C4" s="77" t="n">
        <x:v>45</x:v>
      </x:c>
      <x:c r="D4" s="77" t="n">
        <x:v>11</x:v>
      </x:c>
      <x:c r="E4" s="77" t="n">
        <x:v>121</x:v>
      </x:c>
      <x:c r="F4" s="77" t="n">
        <x:v>10</x:v>
      </x:c>
      <x:c r="G4" s="77" t="n">
        <x:v>3379.75</x:v>
      </x:c>
      <x:c r="H4" s="60" t="inlineStr">
        <x:is>
          <x:t xml:space="preserve">Daily update</x:t>
        </x:is>
      </x:c>
    </x:row>
    <x:row r="5">
      <x:c r="A5" s="75" t="inlineStr">
        <x:is>
          <x:t xml:space="preserve">2026-07-26T22:13:31+09:00</x:t>
        </x:is>
      </x:c>
      <x:c r="B5" s="77" t="n">
        <x:v>47</x:v>
      </x:c>
      <x:c r="C5" s="77" t="n">
        <x:v>37</x:v>
      </x:c>
      <x:c r="D5" s="77" t="n">
        <x:v>0</x:v>
      </x:c>
      <x:c r="E5" s="77" t="n">
        <x:v>124</x:v>
      </x:c>
      <x:c r="F5" s="77" t="n">
        <x:v>10</x:v>
      </x:c>
      <x:c r="G5" s="77" t="n">
        <x:v>1655.72</x:v>
      </x:c>
      <x:c r="H5" s="60" t="inlineStr">
        <x:is>
          <x:t xml:space="preserve">Daily update</x:t>
        </x:is>
      </x:c>
    </x:row>
    <x:row r="6">
      <x:c r="A6" s="75" t="inlineStr">
        <x:is>
          <x:t xml:space="preserve">2026-07-26T21:45:54+09:00</x:t>
        </x:is>
      </x:c>
      <x:c r="B6" s="77" t="n">
        <x:v>128</x:v>
      </x:c>
      <x:c r="C6" s="77" t="n">
        <x:v>73</x:v>
      </x:c>
      <x:c r="D6" s="77" t="n">
        <x:v>8</x:v>
      </x:c>
      <x:c r="E6" s="77" t="n">
        <x:v>603</x:v>
      </x:c>
      <x:c r="F6" s="77" t="n">
        <x:v>55</x:v>
      </x:c>
      <x:c r="G6" s="77" t="n">
        <x:v>1492.56</x:v>
      </x:c>
      <x:c r="H6" s="60" t="inlineStr">
        <x:is>
          <x:t xml:space="preserve">Historical backfill: policy 365d / technology 183d</x:t>
        </x:is>
      </x:c>
    </x:row>
    <x:row r="7">
      <x:c r="A7" s="75" t="inlineStr">
        <x:is>
          <x:t xml:space="preserve">2026-07-26T21:29:09+09:00</x:t>
        </x:is>
      </x:c>
      <x:c r="B7" s="77" t="n">
        <x:v>41</x:v>
      </x:c>
      <x:c r="C7" s="77" t="n">
        <x:v>31</x:v>
      </x:c>
      <x:c r="D7" s="77" t="n">
        <x:v>7</x:v>
      </x:c>
      <x:c r="E7" s="77" t="n">
        <x:v>76</x:v>
      </x:c>
      <x:c r="F7" s="77" t="n">
        <x:v>10</x:v>
      </x:c>
      <x:c r="G7" s="77" t="n">
        <x:v>832.08</x:v>
      </x:c>
      <x:c r="H7" s="60" t="inlineStr">
        <x:is>
          <x:t xml:space="preserve">Daily update</x:t>
        </x:is>
      </x:c>
    </x:row>
    <x:row r="8">
      <x:c r="A8" s="75" t="inlineStr">
        <x:is>
          <x:t xml:space="preserve">2026-07-26T21:02:36+09:00</x:t>
        </x:is>
      </x:c>
      <x:c r="B8" s="77" t="n">
        <x:v>108</x:v>
      </x:c>
      <x:c r="C8" s="77" t="n">
        <x:v>59</x:v>
      </x:c>
      <x:c r="D8" s="77" t="n">
        <x:v>16</x:v>
      </x:c>
      <x:c r="E8" s="77" t="n">
        <x:v>92</x:v>
      </x:c>
      <x:c r="F8" s="77" t="n">
        <x:v>49</x:v>
      </x:c>
      <x:c r="G8" s="77" t="n">
        <x:v>1376.15</x:v>
      </x:c>
      <x:c r="H8" s="60" t="inlineStr">
        <x:is>
          <x:t xml:space="preserve">Historical backfill: policy 365d / technology 183d</x:t>
        </x:is>
      </x:c>
    </x:row>
    <x:row r="9">
      <x:c r="A9" s="75" t="inlineStr">
        <x:is>
          <x:t xml:space="preserve">2026-07-26T20:36:29+09:00</x:t>
        </x:is>
      </x:c>
      <x:c r="B9" s="77" t="n">
        <x:v>38</x:v>
      </x:c>
      <x:c r="C9" s="77" t="n">
        <x:v>28</x:v>
      </x:c>
      <x:c r="D9" s="77" t="n">
        <x:v>1</x:v>
      </x:c>
      <x:c r="E9" s="77" t="n">
        <x:v>74</x:v>
      </x:c>
      <x:c r="F9" s="77" t="n">
        <x:v>10</x:v>
      </x:c>
      <x:c r="G9" s="77" t="n">
        <x:v>93.7</x:v>
      </x:c>
      <x:c r="H9" s="60" t="inlineStr">
        <x:is>
          <x:t xml:space="preserve">Daily update</x:t>
        </x:is>
      </x:c>
    </x:row>
    <x:row r="10">
      <x:c r="A10" s="75" t="inlineStr">
        <x:is>
          <x:t xml:space="preserve">2026-07-26T20:34:08+09:00</x:t>
        </x:is>
      </x:c>
      <x:c r="B10" s="77" t="n">
        <x:v>38</x:v>
      </x:c>
      <x:c r="C10" s="77" t="n">
        <x:v>28</x:v>
      </x:c>
      <x:c r="D10" s="77" t="n">
        <x:v>0</x:v>
      </x:c>
      <x:c r="E10" s="77" t="n">
        <x:v>74</x:v>
      </x:c>
      <x:c r="F10" s="77" t="n">
        <x:v>10</x:v>
      </x:c>
      <x:c r="G10" s="77" t="n">
        <x:v>20.27</x:v>
      </x:c>
      <x:c r="H10" s="60" t="inlineStr">
        <x:is>
          <x:t xml:space="preserve">Daily update</x:t>
        </x:is>
      </x:c>
    </x:row>
    <x:row r="11">
      <x:c r="A11" s="75" t="inlineStr">
        <x:is>
          <x:t xml:space="preserve">2026-07-26T20:29:40+09:00</x:t>
        </x:is>
      </x:c>
      <x:c r="B11" s="77" t="n">
        <x:v>38</x:v>
      </x:c>
      <x:c r="C11" s="77" t="n">
        <x:v>28</x:v>
      </x:c>
      <x:c r="D11" s="77" t="n">
        <x:v>7</x:v>
      </x:c>
      <x:c r="E11" s="77" t="n">
        <x:v>11</x:v>
      </x:c>
      <x:c r="F11" s="77" t="n">
        <x:v>10</x:v>
      </x:c>
      <x:c r="G11" s="77" t="n">
        <x:v>141.79</x:v>
      </x:c>
      <x:c r="H11" s="60" t="inlineStr">
        <x:is>
          <x:t xml:space="preserve">Daily update</x:t>
        </x:is>
      </x:c>
    </x:row>
    <x:row r="12">
      <x:c r="A12" s="75" t="inlineStr">
        <x:is>
          <x:t xml:space="preserve">2026-07-26T20:24:57+09:00</x:t>
        </x:is>
      </x:c>
      <x:c r="B12" s="77" t="n">
        <x:v>38</x:v>
      </x:c>
      <x:c r="C12" s="77" t="n">
        <x:v>28</x:v>
      </x:c>
      <x:c r="D12" s="77" t="n">
        <x:v>6</x:v>
      </x:c>
      <x:c r="E12" s="77" t="n">
        <x:v>24</x:v>
      </x:c>
      <x:c r="F12" s="77" t="n">
        <x:v>10</x:v>
      </x:c>
      <x:c r="G12" s="77" t="n">
        <x:v>134.95</x:v>
      </x:c>
      <x:c r="H12" s="60" t="inlineStr">
        <x:is>
          <x:t xml:space="preserve">Daily update</x:t>
        </x:is>
      </x:c>
    </x:row>
    <x:row r="13">
      <x:c r="A13" s="75" t="inlineStr">
        <x:is>
          <x:t xml:space="preserve">2026-07-26T20:19:15+09:00</x:t>
        </x:is>
      </x:c>
      <x:c r="B13" s="77" t="n">
        <x:v>38</x:v>
      </x:c>
      <x:c r="C13" s="77" t="n">
        <x:v>28</x:v>
      </x:c>
      <x:c r="D13" s="77" t="n">
        <x:v>15</x:v>
      </x:c>
      <x:c r="E13" s="77" t="n">
        <x:v>22</x:v>
      </x:c>
      <x:c r="F13" s="77" t="n">
        <x:v>10</x:v>
      </x:c>
      <x:c r="G13" s="77" t="n">
        <x:v>134.05</x:v>
      </x:c>
      <x:c r="H13" s="60" t="inlineStr">
        <x:is>
          <x:t xml:space="preserve">Daily update</x:t>
        </x:is>
      </x:c>
    </x:row>
    <x:row r="14">
      <x:c r="A14" s="75" t="inlineStr">
        <x:is>
          <x:t xml:space="preserve">2026-07-26T20:13:43+09:00</x:t>
        </x:is>
      </x:c>
      <x:c r="B14" s="77" t="n">
        <x:v>34</x:v>
      </x:c>
      <x:c r="C14" s="77" t="n">
        <x:v>24</x:v>
      </x:c>
      <x:c r="D14" s="77" t="n">
        <x:v>3</x:v>
      </x:c>
      <x:c r="E14" s="77" t="n">
        <x:v>51</x:v>
      </x:c>
      <x:c r="F14" s="77" t="n">
        <x:v>10</x:v>
      </x:c>
      <x:c r="G14" s="77" t="n">
        <x:v>162.46</x:v>
      </x:c>
      <x:c r="H14" s="60" t="inlineStr">
        <x:is>
          <x:t xml:space="preserve">Daily update</x:t>
        </x:is>
      </x:c>
    </x:row>
    <x:row r="15">
      <x:c r="A15" s="75" t="inlineStr">
        <x:is>
          <x:t xml:space="preserve">2026-07-26T20:00:03+09:00</x:t>
        </x:is>
      </x:c>
      <x:c r="B15" s="77" t="n">
        <x:v>34</x:v>
      </x:c>
      <x:c r="C15" s="77" t="n">
        <x:v>24</x:v>
      </x:c>
      <x:c r="D15" s="77" t="n">
        <x:v>0</x:v>
      </x:c>
      <x:c r="E15" s="77" t="n">
        <x:v>58</x:v>
      </x:c>
      <x:c r="F15" s="77" t="n">
        <x:v>10</x:v>
      </x:c>
      <x:c r="G15" s="77" t="n">
        <x:v>154.27</x:v>
      </x:c>
      <x:c r="H15" s="60" t="inlineStr">
        <x:is>
          <x:t xml:space="preserve">Daily update</x:t>
        </x:is>
      </x:c>
    </x:row>
    <x:row r="16">
      <x:c r="A16" s="75" t="inlineStr">
        <x:is>
          <x:t xml:space="preserve">2026-07-26T19:51:39+09:00</x:t>
        </x:is>
      </x:c>
      <x:c r="B16" s="77" t="n">
        <x:v>34</x:v>
      </x:c>
      <x:c r="C16" s="77" t="n">
        <x:v>24</x:v>
      </x:c>
      <x:c r="D16" s="77" t="n">
        <x:v>9</x:v>
      </x:c>
      <x:c r="E16" s="77" t="n">
        <x:v>49</x:v>
      </x:c>
      <x:c r="F16" s="77" t="n">
        <x:v>10</x:v>
      </x:c>
      <x:c r="G16" s="77" t="n">
        <x:v>11.55</x:v>
      </x:c>
      <x:c r="H16" s="60" t="inlineStr">
        <x:is>
          <x:t xml:space="preserve">Daily update</x:t>
        </x:is>
      </x:c>
    </x:row>
    <x:row r="17">
      <x:c r="A17" s="75" t="inlineStr">
        <x:is>
          <x:t xml:space="preserve">2026-07-26T19:10:55+09:00</x:t>
        </x:is>
      </x:c>
      <x:c r="B17" s="77" t="n">
        <x:v>34</x:v>
      </x:c>
      <x:c r="C17" s="77" t="n">
        <x:v>25</x:v>
      </x:c>
      <x:c r="D17" s="77" t="n">
        <x:v>3</x:v>
      </x:c>
      <x:c r="E17" s="77" t="n">
        <x:v>45</x:v>
      </x:c>
      <x:c r="F17" s="77" t="n">
        <x:v>9</x:v>
      </x:c>
      <x:c r="G17" s="77" t="n">
        <x:v>194.65</x:v>
      </x:c>
      <x:c r="H17" s="60" t="inlineStr">
        <x:is>
          <x:t xml:space="preserve">Daily update</x:t>
        </x:is>
      </x:c>
    </x:row>
    <x:row r="18">
      <x:c r="A18" s="75" t="inlineStr">
        <x:is>
          <x:t xml:space="preserve">2026-07-26T19:05:06+09:00</x:t>
        </x:is>
      </x:c>
      <x:c r="B18" s="77" t="n">
        <x:v>33</x:v>
      </x:c>
      <x:c r="C18" s="77" t="n">
        <x:v>24</x:v>
      </x:c>
      <x:c r="D18" s="77" t="n">
        <x:v>5</x:v>
      </x:c>
      <x:c r="E18" s="77" t="n">
        <x:v>39</x:v>
      </x:c>
      <x:c r="F18" s="77" t="n">
        <x:v>9</x:v>
      </x:c>
      <x:c r="G18" s="77" t="n">
        <x:v>165.89</x:v>
      </x:c>
      <x:c r="H18" s="60" t="inlineStr">
        <x:is>
          <x:t xml:space="preserve">Daily update</x:t>
        </x:is>
      </x:c>
    </x:row>
    <x:row r="19">
      <x:c r="A19" s="75" t="inlineStr">
        <x:is>
          <x:t xml:space="preserve">2026-07-26T18:56:03+09:00</x:t>
        </x:is>
      </x:c>
      <x:c r="B19" s="77" t="n">
        <x:v>33</x:v>
      </x:c>
      <x:c r="C19" s="77" t="n">
        <x:v>20</x:v>
      </x:c>
      <x:c r="D19" s="77" t="n">
        <x:v>94</x:v>
      </x:c>
      <x:c r="E19" s="77" t="n">
        <x:v>0</x:v>
      </x:c>
      <x:c r="F19" s="77" t="n">
        <x:v>13</x:v>
      </x:c>
      <x:c r="G19" s="77" t="n">
        <x:v>129.43</x:v>
      </x:c>
      <x:c r="H19" s="60" t="inlineStr">
        <x:is>
          <x:t xml:space="preserve">Initial lookback</x:t>
        </x:is>
      </x:c>
    </x:row>
  </x:sheetData>
  <x:mergeCells>
    <x:mergeCell ref="A2:H2"/>
    <x:mergeCell ref="A1:H1"/>
  </x:mergeCells>
  <x:pageMargins left="0.7" right="0.7" top="0.75" bottom="0.75" header="0.3" footer="0.3"/>
  <x:tableParts count="1">
    <x:tablePart xmlns:r="http://schemas.openxmlformats.org/officeDocument/2006/relationships" r:id="R81ab2041ef3d4a4b"/>
  </x:tableParts>
</x:worksheet>
</file>